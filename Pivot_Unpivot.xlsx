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Unified_Mentor\Excel\Solutions\"/>
    </mc:Choice>
  </mc:AlternateContent>
  <xr:revisionPtr revIDLastSave="0" documentId="8_{0E95B8BA-3FF3-42F4-BDE0-30CA775078DF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PivotUnpivotData" sheetId="1" r:id="rId1"/>
    <sheet name="Unpivoted" sheetId="2" r:id="rId2"/>
    <sheet name="Summary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8" i="3" l="1"/>
  <c r="A8" i="3"/>
  <c r="E8" i="3" s="1"/>
  <c r="M7" i="3" s="1"/>
  <c r="A7" i="3"/>
  <c r="E7" i="3" s="1"/>
  <c r="L7" i="3" s="1"/>
  <c r="E6" i="3"/>
  <c r="K7" i="3" s="1"/>
  <c r="C6" i="3"/>
  <c r="K5" i="3" s="1"/>
  <c r="B6" i="3"/>
  <c r="A6" i="3"/>
  <c r="D6" i="3" s="1"/>
  <c r="K6" i="3" s="1"/>
  <c r="A5" i="3"/>
  <c r="E5" i="3" s="1"/>
  <c r="J7" i="3" s="1"/>
  <c r="B4" i="3"/>
  <c r="I4" i="3" s="1"/>
  <c r="A4" i="3"/>
  <c r="E4" i="3" s="1"/>
  <c r="K3" i="3"/>
  <c r="I3" i="3"/>
  <c r="C23" i="2"/>
  <c r="B23" i="2"/>
  <c r="A23" i="2"/>
  <c r="C22" i="2"/>
  <c r="B22" i="2"/>
  <c r="A22" i="2"/>
  <c r="C21" i="2"/>
  <c r="B21" i="2"/>
  <c r="A21" i="2"/>
  <c r="C20" i="2"/>
  <c r="B20" i="2"/>
  <c r="A20" i="2"/>
  <c r="C19" i="2"/>
  <c r="B19" i="2"/>
  <c r="A19" i="2"/>
  <c r="C18" i="2"/>
  <c r="B18" i="2"/>
  <c r="A18" i="2"/>
  <c r="C17" i="2"/>
  <c r="B17" i="2"/>
  <c r="A17" i="2"/>
  <c r="C16" i="2"/>
  <c r="B16" i="2"/>
  <c r="A16" i="2"/>
  <c r="C15" i="2"/>
  <c r="B15" i="2"/>
  <c r="A15" i="2"/>
  <c r="C14" i="2"/>
  <c r="B14" i="2"/>
  <c r="A14" i="2"/>
  <c r="C13" i="2"/>
  <c r="B13" i="2"/>
  <c r="A13" i="2"/>
  <c r="C12" i="2"/>
  <c r="B12" i="2"/>
  <c r="A12" i="2"/>
  <c r="C11" i="2"/>
  <c r="B11" i="2"/>
  <c r="A11" i="2"/>
  <c r="C10" i="2"/>
  <c r="B10" i="2"/>
  <c r="A10" i="2"/>
  <c r="C9" i="2"/>
  <c r="B9" i="2"/>
  <c r="A9" i="2"/>
  <c r="C8" i="2"/>
  <c r="B8" i="2"/>
  <c r="A8" i="2"/>
  <c r="C7" i="2"/>
  <c r="B7" i="2"/>
  <c r="A7" i="2"/>
  <c r="C6" i="2"/>
  <c r="B6" i="2"/>
  <c r="A6" i="2"/>
  <c r="C5" i="2"/>
  <c r="B5" i="2"/>
  <c r="A5" i="2"/>
  <c r="C4" i="2"/>
  <c r="B4" i="2"/>
  <c r="A4" i="2"/>
  <c r="E9" i="3" l="1"/>
  <c r="I7" i="3"/>
  <c r="F6" i="3"/>
  <c r="K4" i="3"/>
  <c r="J3" i="3"/>
  <c r="B5" i="3"/>
  <c r="L3" i="3"/>
  <c r="D5" i="3"/>
  <c r="J6" i="3" s="1"/>
  <c r="C8" i="3"/>
  <c r="M5" i="3" s="1"/>
  <c r="M4" i="3"/>
  <c r="C5" i="3"/>
  <c r="J5" i="3" s="1"/>
  <c r="M3" i="3"/>
  <c r="D8" i="3"/>
  <c r="M6" i="3" s="1"/>
  <c r="C4" i="3"/>
  <c r="B7" i="3"/>
  <c r="D4" i="3"/>
  <c r="C7" i="3"/>
  <c r="L5" i="3" s="1"/>
  <c r="D7" i="3"/>
  <c r="L6" i="3" s="1"/>
  <c r="F7" i="3" l="1"/>
  <c r="L4" i="3"/>
  <c r="C9" i="3"/>
  <c r="I5" i="3"/>
  <c r="F4" i="3"/>
  <c r="F5" i="3"/>
  <c r="J4" i="3"/>
  <c r="D9" i="3"/>
  <c r="I6" i="3"/>
  <c r="F8" i="3"/>
  <c r="B9" i="3"/>
  <c r="F9" i="3" l="1"/>
</calcChain>
</file>

<file path=xl/sharedStrings.xml><?xml version="1.0" encoding="utf-8"?>
<sst xmlns="http://schemas.openxmlformats.org/spreadsheetml/2006/main" count="27" uniqueCount="20">
  <si>
    <t>Employee</t>
  </si>
  <si>
    <t>Q1 Sales</t>
  </si>
  <si>
    <t>Q2 Sales</t>
  </si>
  <si>
    <t>Q3 Sales</t>
  </si>
  <si>
    <t>Q4 Sales</t>
  </si>
  <si>
    <t>John</t>
  </si>
  <si>
    <t>Jane</t>
  </si>
  <si>
    <t>Alice</t>
  </si>
  <si>
    <t>Bob</t>
  </si>
  <si>
    <t>Eva</t>
  </si>
  <si>
    <t>Unpivoted Sales Data</t>
  </si>
  <si>
    <t>Quarter</t>
  </si>
  <si>
    <t>Sales</t>
  </si>
  <si>
    <t>Sales Summary — Pivoted from Unpivoted Data</t>
  </si>
  <si>
    <t>Q1</t>
  </si>
  <si>
    <t>Q2</t>
  </si>
  <si>
    <t>Q3</t>
  </si>
  <si>
    <t>Q4</t>
  </si>
  <si>
    <t>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</si>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</sst>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name val="Cambria"/>
      <family val="1"/>
    </font>
    <font>
      <b/>
      <sz val="11"/>
      <color rgb="FFFFFFFF"/>
      <name val="Arial"/>
      <family val="2"/>
    </font>
    <font>
      <b/>
      <sz val="14"/>
      <color rgb="FF0070C0"/>
      <name val="Arial"/>
      <family val="2"/>
    </font>
    <font>
      <sz val="11"/>
      <color rgb="FF0070C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D9D9D9"/>
      </patternFill>
    </fill>
    <fill>
      <patternFill patternType="solid">
        <fgColor rgb="FF0070C0"/>
        <bgColor indexed="64"/>
      </patternFill>
    </fill>
    <fill>
      <patternFill patternType="solid">
        <fgColor rgb="FF0070C0"/>
        <bgColor rgb="FF00336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applyBorder="1" applyAlignment="1">
      <alignment horizontal="center"/>
    </xf>
    <xf numFmtId="0" fontId="0" fillId="0" borderId="0" xfId="0" applyFont="1"/>
    <xf numFmtId="3" fontId="0" fillId="0" borderId="2" xfId="0" applyNumberForma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3" fontId="0" fillId="0" borderId="0" xfId="0" applyNumberFormat="1"/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top"/>
    </xf>
    <xf numFmtId="0" fontId="2" fillId="4" borderId="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9F9F9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Quarterly Sales by Employee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Summary!$B$3</c:f>
              <c:strCache>
                <c:ptCount val="1"/>
                <c:pt idx="0">
                  <c:v>Q1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Summary!$A$4:$A$8</c:f>
              <c:strCache>
                <c:ptCount val="5"/>
                <c:pt idx="0">
                  <c:v>John</c:v>
                </c:pt>
                <c:pt idx="1">
                  <c:v>Jane</c:v>
                </c:pt>
                <c:pt idx="2">
                  <c:v>Alice</c:v>
                </c:pt>
                <c:pt idx="3">
                  <c:v>Bob</c:v>
                </c:pt>
                <c:pt idx="4">
                  <c:v>Eva</c:v>
                </c:pt>
              </c:strCache>
            </c:strRef>
          </c:cat>
          <c:val>
            <c:numRef>
              <c:f>Summary!$B$4:$B$8</c:f>
              <c:numCache>
                <c:formatCode>#,##0</c:formatCode>
                <c:ptCount val="5"/>
                <c:pt idx="0">
                  <c:v>2000</c:v>
                </c:pt>
                <c:pt idx="1">
                  <c:v>2500</c:v>
                </c:pt>
                <c:pt idx="2">
                  <c:v>1800</c:v>
                </c:pt>
                <c:pt idx="3">
                  <c:v>2200</c:v>
                </c:pt>
                <c:pt idx="4">
                  <c:v>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2D-4F36-A2B5-10AF0E8F0E3C}"/>
            </c:ext>
          </c:extLst>
        </c:ser>
        <c:ser>
          <c:idx val="1"/>
          <c:order val="1"/>
          <c:tx>
            <c:strRef>
              <c:f>Summary!$C$3</c:f>
              <c:strCache>
                <c:ptCount val="1"/>
                <c:pt idx="0">
                  <c:v>Q2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Summary!$A$4:$A$8</c:f>
              <c:strCache>
                <c:ptCount val="5"/>
                <c:pt idx="0">
                  <c:v>John</c:v>
                </c:pt>
                <c:pt idx="1">
                  <c:v>Jane</c:v>
                </c:pt>
                <c:pt idx="2">
                  <c:v>Alice</c:v>
                </c:pt>
                <c:pt idx="3">
                  <c:v>Bob</c:v>
                </c:pt>
                <c:pt idx="4">
                  <c:v>Eva</c:v>
                </c:pt>
              </c:strCache>
            </c:strRef>
          </c:cat>
          <c:val>
            <c:numRef>
              <c:f>Summary!$C$4:$C$8</c:f>
              <c:numCache>
                <c:formatCode>#,##0</c:formatCode>
                <c:ptCount val="5"/>
                <c:pt idx="0">
                  <c:v>2300</c:v>
                </c:pt>
                <c:pt idx="1">
                  <c:v>2700</c:v>
                </c:pt>
                <c:pt idx="2">
                  <c:v>1900</c:v>
                </c:pt>
                <c:pt idx="3">
                  <c:v>2400</c:v>
                </c:pt>
                <c:pt idx="4">
                  <c:v>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2D-4F36-A2B5-10AF0E8F0E3C}"/>
            </c:ext>
          </c:extLst>
        </c:ser>
        <c:ser>
          <c:idx val="2"/>
          <c:order val="2"/>
          <c:tx>
            <c:strRef>
              <c:f>Summary!$D$3</c:f>
              <c:strCache>
                <c:ptCount val="1"/>
                <c:pt idx="0">
                  <c:v>Q3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Summary!$A$4:$A$8</c:f>
              <c:strCache>
                <c:ptCount val="5"/>
                <c:pt idx="0">
                  <c:v>John</c:v>
                </c:pt>
                <c:pt idx="1">
                  <c:v>Jane</c:v>
                </c:pt>
                <c:pt idx="2">
                  <c:v>Alice</c:v>
                </c:pt>
                <c:pt idx="3">
                  <c:v>Bob</c:v>
                </c:pt>
                <c:pt idx="4">
                  <c:v>Eva</c:v>
                </c:pt>
              </c:strCache>
            </c:strRef>
          </c:cat>
          <c:val>
            <c:numRef>
              <c:f>Summary!$D$4:$D$8</c:f>
              <c:numCache>
                <c:formatCode>#,##0</c:formatCode>
                <c:ptCount val="5"/>
                <c:pt idx="0">
                  <c:v>2500</c:v>
                </c:pt>
                <c:pt idx="1">
                  <c:v>2900</c:v>
                </c:pt>
                <c:pt idx="2">
                  <c:v>2100</c:v>
                </c:pt>
                <c:pt idx="3">
                  <c:v>2600</c:v>
                </c:pt>
                <c:pt idx="4">
                  <c:v>2700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2D-4F36-A2B5-10AF0E8F0E3C}"/>
            </c:ext>
          </c:extLst>
        </c:ser>
        <c:ser>
          <c:idx val="3"/>
          <c:order val="3"/>
          <c:tx>
            <c:strRef>
              <c:f>Summary!$E$3</c:f>
              <c:strCache>
                <c:ptCount val="1"/>
                <c:pt idx="0">
                  <c:v>Q4</c:v>
                </c:pt>
              </c:strCache>
            </c:strRef>
          </c:tx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Summary!$A$4:$A$8</c:f>
              <c:strCache>
                <c:ptCount val="5"/>
                <c:pt idx="0">
                  <c:v>John</c:v>
                </c:pt>
                <c:pt idx="1">
                  <c:v>Jane</c:v>
                </c:pt>
                <c:pt idx="2">
                  <c:v>Alice</c:v>
                </c:pt>
                <c:pt idx="3">
                  <c:v>Bob</c:v>
                </c:pt>
                <c:pt idx="4">
                  <c:v>Eva</c:v>
                </c:pt>
              </c:strCache>
            </c:strRef>
          </c:cat>
          <c:val>
            <c:numRef>
              <c:f>Summary!$E$4:$E$8</c:f>
              <c:numCache>
                <c:formatCode>#,##0</c:formatCode>
                <c:ptCount val="5"/>
                <c:pt idx="0">
                  <c:v>2700</c:v>
                </c:pt>
                <c:pt idx="1">
                  <c:v>3100</c:v>
                </c:pt>
                <c:pt idx="2">
                  <c:v>2300</c:v>
                </c:pt>
                <c:pt idx="3">
                  <c:v>2800</c:v>
                </c:pt>
                <c:pt idx="4">
                  <c:v>2900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2D-4F36-A2B5-10AF0E8F0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639153"/>
        <c:axId val="38081346"/>
      </c:barChart>
      <c:catAx>
        <c:axId val="626391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Employee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081346"/>
        <c:crosses val="autoZero"/>
        <c:auto val="1"/>
        <c:lblAlgn val="ctr"/>
        <c:lblOffset val="100"/>
        <c:noMultiLvlLbl val="0"/>
      </c:catAx>
      <c:valAx>
        <c:axId val="380813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6391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Quarterly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47520">
              <a:solidFill>
                <a:srgbClr val="903836"/>
              </a:solidFill>
              <a:round/>
            </a:ln>
          </c:spPr>
          <c:marker>
            <c:symbol val="none"/>
          </c:marker>
          <c:smooth val="1"/>
          <c:extLst>
            <c:ext xmlns:c16="http://schemas.microsoft.com/office/drawing/2014/chart" uri="{C3380CC4-5D6E-409C-BE32-E72D297353CC}">
              <c16:uniqueId val="{00000000-9D17-4EA7-89F8-F1CE89343DC0}"/>
            </c:ext>
          </c:extLst>
        </c:ser>
        <c:ser>
          <c:idx val="1"/>
          <c:order val="1"/>
          <c:spPr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smooth val="1"/>
          <c:extLst>
            <c:ext xmlns:c16="http://schemas.microsoft.com/office/drawing/2014/chart" uri="{C3380CC4-5D6E-409C-BE32-E72D297353CC}">
              <c16:uniqueId val="{00000001-9D17-4EA7-89F8-F1CE89343DC0}"/>
            </c:ext>
          </c:extLst>
        </c:ser>
        <c:ser>
          <c:idx val="2"/>
          <c:order val="2"/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smooth val="1"/>
          <c:extLst>
            <c:ext xmlns:c16="http://schemas.microsoft.com/office/drawing/2014/chart" uri="{C3380CC4-5D6E-409C-BE32-E72D297353CC}">
              <c16:uniqueId val="{00000002-9D17-4EA7-89F8-F1CE89343DC0}"/>
            </c:ext>
          </c:extLst>
        </c:ser>
        <c:ser>
          <c:idx val="3"/>
          <c:order val="3"/>
          <c:spPr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smooth val="1"/>
          <c:extLst>
            <c:ext xmlns:c16="http://schemas.microsoft.com/office/drawing/2014/chart" uri="{C3380CC4-5D6E-409C-BE32-E72D297353CC}">
              <c16:uniqueId val="{00000003-9D17-4EA7-89F8-F1CE89343DC0}"/>
            </c:ext>
          </c:extLst>
        </c:ser>
        <c:ser>
          <c:idx val="4"/>
          <c:order val="4"/>
          <c:spPr>
            <a:ln w="47520">
              <a:solidFill>
                <a:srgbClr val="DCB7B6"/>
              </a:solidFill>
              <a:round/>
            </a:ln>
          </c:spPr>
          <c:marker>
            <c:symbol val="none"/>
          </c:marker>
          <c:smooth val="1"/>
          <c:extLst>
            <c:ext xmlns:c16="http://schemas.microsoft.com/office/drawing/2014/chart" uri="{C3380CC4-5D6E-409C-BE32-E72D297353CC}">
              <c16:uniqueId val="{00000004-9D17-4EA7-89F8-F1CE89343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1080491"/>
        <c:axId val="57531372"/>
      </c:lineChart>
      <c:catAx>
        <c:axId val="510804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Quarter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-409]mm/dd/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531372"/>
        <c:crosses val="autoZero"/>
        <c:auto val="1"/>
        <c:lblAlgn val="ctr"/>
        <c:lblOffset val="100"/>
        <c:noMultiLvlLbl val="0"/>
      </c:catAx>
      <c:valAx>
        <c:axId val="575313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Sales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0804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160560</xdr:rowOff>
    </xdr:from>
    <xdr:to>
      <xdr:col>15</xdr:col>
      <xdr:colOff>133920</xdr:colOff>
      <xdr:row>29</xdr:row>
      <xdr:rowOff>140760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30</xdr:row>
      <xdr:rowOff>160560</xdr:rowOff>
    </xdr:from>
    <xdr:to>
      <xdr:col>15</xdr:col>
      <xdr:colOff>133920</xdr:colOff>
      <xdr:row>49</xdr:row>
      <xdr:rowOff>140760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zoomScaleNormal="100" workbookViewId="0">
      <selection sqref="A1:E1"/>
    </sheetView>
  </sheetViews>
  <sheetFormatPr defaultColWidth="8.6640625" defaultRowHeight="14.4" x14ac:dyDescent="0.3"/>
  <cols>
    <col min="1" max="1" width="10.21875" bestFit="1" customWidth="1"/>
    <col min="2" max="2" width="8.88671875" bestFit="1" customWidth="1"/>
  </cols>
  <sheetData>
    <row r="1" spans="1:5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x14ac:dyDescent="0.3">
      <c r="A2" t="s">
        <v>5</v>
      </c>
      <c r="B2">
        <v>2000</v>
      </c>
      <c r="C2">
        <v>2300</v>
      </c>
      <c r="D2">
        <v>2500</v>
      </c>
      <c r="E2">
        <v>2700</v>
      </c>
    </row>
    <row r="3" spans="1:5" x14ac:dyDescent="0.3">
      <c r="A3" t="s">
        <v>6</v>
      </c>
      <c r="B3">
        <v>2500</v>
      </c>
      <c r="C3">
        <v>2700</v>
      </c>
      <c r="D3">
        <v>2900</v>
      </c>
      <c r="E3">
        <v>3100</v>
      </c>
    </row>
    <row r="4" spans="1:5" x14ac:dyDescent="0.3">
      <c r="A4" t="s">
        <v>7</v>
      </c>
      <c r="B4">
        <v>1800</v>
      </c>
      <c r="C4">
        <v>1900</v>
      </c>
      <c r="D4">
        <v>2100</v>
      </c>
      <c r="E4">
        <v>2300</v>
      </c>
    </row>
    <row r="5" spans="1:5" x14ac:dyDescent="0.3">
      <c r="A5" t="s">
        <v>8</v>
      </c>
      <c r="B5">
        <v>2200</v>
      </c>
      <c r="C5">
        <v>2400</v>
      </c>
      <c r="D5">
        <v>2600</v>
      </c>
      <c r="E5">
        <v>2800</v>
      </c>
    </row>
    <row r="6" spans="1:5" x14ac:dyDescent="0.3">
      <c r="A6" t="s">
        <v>9</v>
      </c>
      <c r="B6">
        <v>2100</v>
      </c>
      <c r="C6">
        <v>2500</v>
      </c>
      <c r="D6">
        <v>2700</v>
      </c>
      <c r="E6">
        <v>2900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"/>
  <sheetViews>
    <sheetView zoomScaleNormal="100" workbookViewId="0">
      <selection activeCell="A3" sqref="A3:C3"/>
    </sheetView>
  </sheetViews>
  <sheetFormatPr defaultColWidth="8.6640625" defaultRowHeight="14.4" x14ac:dyDescent="0.3"/>
  <cols>
    <col min="1" max="1" width="28.21875" bestFit="1" customWidth="1"/>
    <col min="2" max="3" width="12" customWidth="1"/>
  </cols>
  <sheetData>
    <row r="1" spans="1:3" ht="17.399999999999999" x14ac:dyDescent="0.3">
      <c r="A1" s="10" t="s">
        <v>10</v>
      </c>
      <c r="B1" s="10"/>
      <c r="C1" s="10"/>
    </row>
    <row r="3" spans="1:3" x14ac:dyDescent="0.3">
      <c r="A3" s="9" t="s">
        <v>0</v>
      </c>
      <c r="B3" s="9" t="s">
        <v>11</v>
      </c>
      <c r="C3" s="9" t="s">
        <v>12</v>
      </c>
    </row>
    <row r="4" spans="1:3" x14ac:dyDescent="0.3">
      <c r="A4" s="1" t="str">
        <f>INDEX(PivotUnpivotData!$A$2:$A$6,INT(0/4)+1)</f>
        <v>John</v>
      </c>
      <c r="B4" s="1" t="str">
        <f>"Q"&amp;(MOD(0,4)+1)</f>
        <v>Q1</v>
      </c>
      <c r="C4" s="1">
        <f>INDEX(PivotUnpivotData!$B$2:$E$6,INT(0/4)+1,MOD(0,4)+1)</f>
        <v>2000</v>
      </c>
    </row>
    <row r="5" spans="1:3" x14ac:dyDescent="0.3">
      <c r="A5" s="1" t="str">
        <f>INDEX(PivotUnpivotData!$A$2:$A$6,INT(1/4)+1)</f>
        <v>John</v>
      </c>
      <c r="B5" s="1" t="str">
        <f>"Q"&amp;(MOD(1,4)+1)</f>
        <v>Q2</v>
      </c>
      <c r="C5" s="1">
        <f>INDEX(PivotUnpivotData!$B$2:$E$6,INT(1/4)+1,MOD(1,4)+1)</f>
        <v>2300</v>
      </c>
    </row>
    <row r="6" spans="1:3" x14ac:dyDescent="0.3">
      <c r="A6" s="1" t="str">
        <f>INDEX(PivotUnpivotData!$A$2:$A$6,INT(2/4)+1)</f>
        <v>John</v>
      </c>
      <c r="B6" s="1" t="str">
        <f>"Q"&amp;(MOD(2,4)+1)</f>
        <v>Q3</v>
      </c>
      <c r="C6" s="1">
        <f>INDEX(PivotUnpivotData!$B$2:$E$6,INT(2/4)+1,MOD(2,4)+1)</f>
        <v>2500</v>
      </c>
    </row>
    <row r="7" spans="1:3" x14ac:dyDescent="0.3">
      <c r="A7" s="1" t="str">
        <f>INDEX(PivotUnpivotData!$A$2:$A$6,INT(3/4)+1)</f>
        <v>John</v>
      </c>
      <c r="B7" s="1" t="str">
        <f>"Q"&amp;(MOD(3,4)+1)</f>
        <v>Q4</v>
      </c>
      <c r="C7" s="1">
        <f>INDEX(PivotUnpivotData!$B$2:$E$6,INT(3/4)+1,MOD(3,4)+1)</f>
        <v>2700</v>
      </c>
    </row>
    <row r="8" spans="1:3" x14ac:dyDescent="0.3">
      <c r="A8" s="1" t="str">
        <f>INDEX(PivotUnpivotData!$A$2:$A$6,INT(4/4)+1)</f>
        <v>Jane</v>
      </c>
      <c r="B8" s="1" t="str">
        <f>"Q"&amp;(MOD(4,4)+1)</f>
        <v>Q1</v>
      </c>
      <c r="C8" s="1">
        <f>INDEX(PivotUnpivotData!$B$2:$E$6,INT(4/4)+1,MOD(4,4)+1)</f>
        <v>2500</v>
      </c>
    </row>
    <row r="9" spans="1:3" x14ac:dyDescent="0.3">
      <c r="A9" s="1" t="str">
        <f>INDEX(PivotUnpivotData!$A$2:$A$6,INT(5/4)+1)</f>
        <v>Jane</v>
      </c>
      <c r="B9" s="1" t="str">
        <f>"Q"&amp;(MOD(5,4)+1)</f>
        <v>Q2</v>
      </c>
      <c r="C9" s="1">
        <f>INDEX(PivotUnpivotData!$B$2:$E$6,INT(5/4)+1,MOD(5,4)+1)</f>
        <v>2700</v>
      </c>
    </row>
    <row r="10" spans="1:3" x14ac:dyDescent="0.3">
      <c r="A10" s="1" t="str">
        <f>INDEX(PivotUnpivotData!$A$2:$A$6,INT(6/4)+1)</f>
        <v>Jane</v>
      </c>
      <c r="B10" s="1" t="str">
        <f>"Q"&amp;(MOD(6,4)+1)</f>
        <v>Q3</v>
      </c>
      <c r="C10" s="1">
        <f>INDEX(PivotUnpivotData!$B$2:$E$6,INT(6/4)+1,MOD(6,4)+1)</f>
        <v>2900</v>
      </c>
    </row>
    <row r="11" spans="1:3" x14ac:dyDescent="0.3">
      <c r="A11" s="1" t="str">
        <f>INDEX(PivotUnpivotData!$A$2:$A$6,INT(7/4)+1)</f>
        <v>Jane</v>
      </c>
      <c r="B11" s="1" t="str">
        <f>"Q"&amp;(MOD(7,4)+1)</f>
        <v>Q4</v>
      </c>
      <c r="C11" s="1">
        <f>INDEX(PivotUnpivotData!$B$2:$E$6,INT(7/4)+1,MOD(7,4)+1)</f>
        <v>3100</v>
      </c>
    </row>
    <row r="12" spans="1:3" x14ac:dyDescent="0.3">
      <c r="A12" s="1" t="str">
        <f>INDEX(PivotUnpivotData!$A$2:$A$6,INT(8/4)+1)</f>
        <v>Alice</v>
      </c>
      <c r="B12" s="1" t="str">
        <f>"Q"&amp;(MOD(8,4)+1)</f>
        <v>Q1</v>
      </c>
      <c r="C12" s="1">
        <f>INDEX(PivotUnpivotData!$B$2:$E$6,INT(8/4)+1,MOD(8,4)+1)</f>
        <v>1800</v>
      </c>
    </row>
    <row r="13" spans="1:3" x14ac:dyDescent="0.3">
      <c r="A13" s="1" t="str">
        <f>INDEX(PivotUnpivotData!$A$2:$A$6,INT(9/4)+1)</f>
        <v>Alice</v>
      </c>
      <c r="B13" s="1" t="str">
        <f>"Q"&amp;(MOD(9,4)+1)</f>
        <v>Q2</v>
      </c>
      <c r="C13" s="1">
        <f>INDEX(PivotUnpivotData!$B$2:$E$6,INT(9/4)+1,MOD(9,4)+1)</f>
        <v>1900</v>
      </c>
    </row>
    <row r="14" spans="1:3" x14ac:dyDescent="0.3">
      <c r="A14" s="1" t="str">
        <f>INDEX(PivotUnpivotData!$A$2:$A$6,INT(10/4)+1)</f>
        <v>Alice</v>
      </c>
      <c r="B14" s="1" t="str">
        <f>"Q"&amp;(MOD(10,4)+1)</f>
        <v>Q3</v>
      </c>
      <c r="C14" s="1">
        <f>INDEX(PivotUnpivotData!$B$2:$E$6,INT(10/4)+1,MOD(10,4)+1)</f>
        <v>2100</v>
      </c>
    </row>
    <row r="15" spans="1:3" x14ac:dyDescent="0.3">
      <c r="A15" s="1" t="str">
        <f>INDEX(PivotUnpivotData!$A$2:$A$6,INT(11/4)+1)</f>
        <v>Alice</v>
      </c>
      <c r="B15" s="1" t="str">
        <f>"Q"&amp;(MOD(11,4)+1)</f>
        <v>Q4</v>
      </c>
      <c r="C15" s="1">
        <f>INDEX(PivotUnpivotData!$B$2:$E$6,INT(11/4)+1,MOD(11,4)+1)</f>
        <v>2300</v>
      </c>
    </row>
    <row r="16" spans="1:3" x14ac:dyDescent="0.3">
      <c r="A16" s="1" t="str">
        <f>INDEX(PivotUnpivotData!$A$2:$A$6,INT(12/4)+1)</f>
        <v>Bob</v>
      </c>
      <c r="B16" s="1" t="str">
        <f>"Q"&amp;(MOD(12,4)+1)</f>
        <v>Q1</v>
      </c>
      <c r="C16" s="1">
        <f>INDEX(PivotUnpivotData!$B$2:$E$6,INT(12/4)+1,MOD(12,4)+1)</f>
        <v>2200</v>
      </c>
    </row>
    <row r="17" spans="1:3" x14ac:dyDescent="0.3">
      <c r="A17" s="1" t="str">
        <f>INDEX(PivotUnpivotData!$A$2:$A$6,INT(13/4)+1)</f>
        <v>Bob</v>
      </c>
      <c r="B17" s="1" t="str">
        <f>"Q"&amp;(MOD(13,4)+1)</f>
        <v>Q2</v>
      </c>
      <c r="C17" s="1">
        <f>INDEX(PivotUnpivotData!$B$2:$E$6,INT(13/4)+1,MOD(13,4)+1)</f>
        <v>2400</v>
      </c>
    </row>
    <row r="18" spans="1:3" x14ac:dyDescent="0.3">
      <c r="A18" s="1" t="str">
        <f>INDEX(PivotUnpivotData!$A$2:$A$6,INT(14/4)+1)</f>
        <v>Bob</v>
      </c>
      <c r="B18" s="1" t="str">
        <f>"Q"&amp;(MOD(14,4)+1)</f>
        <v>Q3</v>
      </c>
      <c r="C18" s="1">
        <f>INDEX(PivotUnpivotData!$B$2:$E$6,INT(14/4)+1,MOD(14,4)+1)</f>
        <v>2600</v>
      </c>
    </row>
    <row r="19" spans="1:3" x14ac:dyDescent="0.3">
      <c r="A19" s="1" t="str">
        <f>INDEX(PivotUnpivotData!$A$2:$A$6,INT(15/4)+1)</f>
        <v>Bob</v>
      </c>
      <c r="B19" s="1" t="str">
        <f>"Q"&amp;(MOD(15,4)+1)</f>
        <v>Q4</v>
      </c>
      <c r="C19" s="1">
        <f>INDEX(PivotUnpivotData!$B$2:$E$6,INT(15/4)+1,MOD(15,4)+1)</f>
        <v>2800</v>
      </c>
    </row>
    <row r="20" spans="1:3" x14ac:dyDescent="0.3">
      <c r="A20" s="1" t="str">
        <f>INDEX(PivotUnpivotData!$A$2:$A$6,INT(16/4)+1)</f>
        <v>Eva</v>
      </c>
      <c r="B20" s="1" t="str">
        <f>"Q"&amp;(MOD(16,4)+1)</f>
        <v>Q1</v>
      </c>
      <c r="C20" s="1">
        <f>INDEX(PivotUnpivotData!$B$2:$E$6,INT(16/4)+1,MOD(16,4)+1)</f>
        <v>2100</v>
      </c>
    </row>
    <row r="21" spans="1:3" x14ac:dyDescent="0.3">
      <c r="A21" s="1" t="str">
        <f>INDEX(PivotUnpivotData!$A$2:$A$6,INT(17/4)+1)</f>
        <v>Eva</v>
      </c>
      <c r="B21" s="1" t="str">
        <f>"Q"&amp;(MOD(17,4)+1)</f>
        <v>Q2</v>
      </c>
      <c r="C21" s="1">
        <f>INDEX(PivotUnpivotData!$B$2:$E$6,INT(17/4)+1,MOD(17,4)+1)</f>
        <v>2500</v>
      </c>
    </row>
    <row r="22" spans="1:3" x14ac:dyDescent="0.3">
      <c r="A22" s="1" t="str">
        <f>INDEX(PivotUnpivotData!$A$2:$A$6,INT(18/4)+1)</f>
        <v>Eva</v>
      </c>
      <c r="B22" s="1" t="str">
        <f>"Q"&amp;(MOD(18,4)+1)</f>
        <v>Q3</v>
      </c>
      <c r="C22" s="1">
        <f>INDEX(PivotUnpivotData!$B$2:$E$6,INT(18/4)+1,MOD(18,4)+1)</f>
        <v>2700</v>
      </c>
    </row>
    <row r="23" spans="1:3" x14ac:dyDescent="0.3">
      <c r="A23" s="1" t="str">
        <f>INDEX(PivotUnpivotData!$A$2:$A$6,INT(19/4)+1)</f>
        <v>Eva</v>
      </c>
      <c r="B23" s="1" t="str">
        <f>"Q"&amp;(MOD(19,4)+1)</f>
        <v>Q4</v>
      </c>
      <c r="C23" s="1">
        <f>INDEX(PivotUnpivotData!$B$2:$E$6,INT(19/4)+1,MOD(19,4)+1)</f>
        <v>2900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"/>
  <sheetViews>
    <sheetView tabSelected="1" zoomScaleNormal="100" workbookViewId="0">
      <selection activeCell="A3" sqref="A3:F3"/>
    </sheetView>
  </sheetViews>
  <sheetFormatPr defaultColWidth="8.6640625" defaultRowHeight="14.4" x14ac:dyDescent="0.3"/>
  <cols>
    <col min="1" max="1" width="12" customWidth="1"/>
    <col min="2" max="5" width="10" customWidth="1"/>
    <col min="6" max="6" width="12" customWidth="1"/>
    <col min="8" max="13" width="13" hidden="1" customWidth="1"/>
  </cols>
  <sheetData>
    <row r="1" spans="1:13" ht="17.399999999999999" x14ac:dyDescent="0.3">
      <c r="A1" s="11" t="s">
        <v>13</v>
      </c>
      <c r="B1" s="12"/>
      <c r="C1" s="12"/>
      <c r="D1" s="12"/>
      <c r="E1" s="12"/>
      <c r="F1" s="12"/>
    </row>
    <row r="3" spans="1:13" x14ac:dyDescent="0.3">
      <c r="A3" s="9" t="s">
        <v>0</v>
      </c>
      <c r="B3" s="9" t="s">
        <v>14</v>
      </c>
      <c r="C3" s="9" t="s">
        <v>15</v>
      </c>
      <c r="D3" s="9" t="s">
        <v>16</v>
      </c>
      <c r="E3" s="9" t="s">
        <v>17</v>
      </c>
      <c r="F3" s="9" t="s">
        <v>18</v>
      </c>
      <c r="H3" s="2" t="s">
        <v>11</v>
      </c>
      <c r="I3" t="str">
        <f>A4</f>
        <v>John</v>
      </c>
      <c r="J3" t="str">
        <f>A5</f>
        <v>Jane</v>
      </c>
      <c r="K3" t="str">
        <f>A6</f>
        <v>Alice</v>
      </c>
      <c r="L3" t="str">
        <f>A7</f>
        <v>Bob</v>
      </c>
      <c r="M3" t="str">
        <f>A8</f>
        <v>Eva</v>
      </c>
    </row>
    <row r="4" spans="1:13" x14ac:dyDescent="0.3">
      <c r="A4" s="1" t="str">
        <f>INDEX(PivotUnpivotData!$A$2:$A$6,1)</f>
        <v>John</v>
      </c>
      <c r="B4" s="3">
        <f>SUMIFS(Unpivoted!$C$4:$C$23,Unpivoted!$A$4:$A$23,$A4,Unpivoted!$B$4:$B$23,"Q1")</f>
        <v>2000</v>
      </c>
      <c r="C4" s="3">
        <f>SUMIFS(Unpivoted!$C$4:$C$23,Unpivoted!$A$4:$A$23,$A4,Unpivoted!$B$4:$B$23,"Q2")</f>
        <v>2300</v>
      </c>
      <c r="D4" s="3">
        <f>SUMIFS(Unpivoted!$C$4:$C$23,Unpivoted!$A$4:$A$23,$A4,Unpivoted!$B$4:$B$23,"Q3")</f>
        <v>2500</v>
      </c>
      <c r="E4" s="3">
        <f>SUMIFS(Unpivoted!$C$4:$C$23,Unpivoted!$A$4:$A$23,$A4,Unpivoted!$B$4:$B$23,"Q4")</f>
        <v>2700</v>
      </c>
      <c r="F4" s="4">
        <f>SUM(B4:E4)</f>
        <v>9500</v>
      </c>
      <c r="H4" s="2" t="s">
        <v>14</v>
      </c>
      <c r="I4" s="5">
        <f>B4</f>
        <v>2000</v>
      </c>
      <c r="J4" s="5">
        <f>B5</f>
        <v>2500</v>
      </c>
      <c r="K4" s="5">
        <f>B6</f>
        <v>1800</v>
      </c>
      <c r="L4" s="5">
        <f>B7</f>
        <v>2200</v>
      </c>
      <c r="M4" s="5">
        <f>B8</f>
        <v>2100</v>
      </c>
    </row>
    <row r="5" spans="1:13" x14ac:dyDescent="0.3">
      <c r="A5" s="1" t="str">
        <f>INDEX(PivotUnpivotData!$A$2:$A$6,2)</f>
        <v>Jane</v>
      </c>
      <c r="B5" s="3">
        <f>SUMIFS(Unpivoted!$C$4:$C$23,Unpivoted!$A$4:$A$23,$A5,Unpivoted!$B$4:$B$23,"Q1")</f>
        <v>2500</v>
      </c>
      <c r="C5" s="3">
        <f>SUMIFS(Unpivoted!$C$4:$C$23,Unpivoted!$A$4:$A$23,$A5,Unpivoted!$B$4:$B$23,"Q2")</f>
        <v>2700</v>
      </c>
      <c r="D5" s="3">
        <f>SUMIFS(Unpivoted!$C$4:$C$23,Unpivoted!$A$4:$A$23,$A5,Unpivoted!$B$4:$B$23,"Q3")</f>
        <v>2900</v>
      </c>
      <c r="E5" s="3">
        <f>SUMIFS(Unpivoted!$C$4:$C$23,Unpivoted!$A$4:$A$23,$A5,Unpivoted!$B$4:$B$23,"Q4")</f>
        <v>3100</v>
      </c>
      <c r="F5" s="4">
        <f>SUM(B5:E5)</f>
        <v>11200</v>
      </c>
      <c r="H5" s="2" t="s">
        <v>15</v>
      </c>
      <c r="I5" s="5">
        <f>C4</f>
        <v>2300</v>
      </c>
      <c r="J5" s="5">
        <f>C5</f>
        <v>2700</v>
      </c>
      <c r="K5" s="5">
        <f>C6</f>
        <v>1900</v>
      </c>
      <c r="L5" s="5">
        <f>C7</f>
        <v>2400</v>
      </c>
      <c r="M5" s="5">
        <f>C8</f>
        <v>2500</v>
      </c>
    </row>
    <row r="6" spans="1:13" x14ac:dyDescent="0.3">
      <c r="A6" s="1" t="str">
        <f>INDEX(PivotUnpivotData!$A$2:$A$6,3)</f>
        <v>Alice</v>
      </c>
      <c r="B6" s="3">
        <f>SUMIFS(Unpivoted!$C$4:$C$23,Unpivoted!$A$4:$A$23,$A6,Unpivoted!$B$4:$B$23,"Q1")</f>
        <v>1800</v>
      </c>
      <c r="C6" s="3">
        <f>SUMIFS(Unpivoted!$C$4:$C$23,Unpivoted!$A$4:$A$23,$A6,Unpivoted!$B$4:$B$23,"Q2")</f>
        <v>1900</v>
      </c>
      <c r="D6" s="3">
        <f>SUMIFS(Unpivoted!$C$4:$C$23,Unpivoted!$A$4:$A$23,$A6,Unpivoted!$B$4:$B$23,"Q3")</f>
        <v>2100</v>
      </c>
      <c r="E6" s="3">
        <f>SUMIFS(Unpivoted!$C$4:$C$23,Unpivoted!$A$4:$A$23,$A6,Unpivoted!$B$4:$B$23,"Q4")</f>
        <v>2300</v>
      </c>
      <c r="F6" s="4">
        <f>SUM(B6:E6)</f>
        <v>8100</v>
      </c>
      <c r="H6" s="2" t="s">
        <v>16</v>
      </c>
      <c r="I6" s="5">
        <f>D4</f>
        <v>2500</v>
      </c>
      <c r="J6" s="5">
        <f>D5</f>
        <v>2900</v>
      </c>
      <c r="K6" s="5">
        <f>D6</f>
        <v>2100</v>
      </c>
      <c r="L6" s="5">
        <f>D7</f>
        <v>2600</v>
      </c>
      <c r="M6" s="5">
        <f>D8</f>
        <v>2700</v>
      </c>
    </row>
    <row r="7" spans="1:13" x14ac:dyDescent="0.3">
      <c r="A7" s="1" t="str">
        <f>INDEX(PivotUnpivotData!$A$2:$A$6,4)</f>
        <v>Bob</v>
      </c>
      <c r="B7" s="3">
        <f>SUMIFS(Unpivoted!$C$4:$C$23,Unpivoted!$A$4:$A$23,$A7,Unpivoted!$B$4:$B$23,"Q1")</f>
        <v>2200</v>
      </c>
      <c r="C7" s="3">
        <f>SUMIFS(Unpivoted!$C$4:$C$23,Unpivoted!$A$4:$A$23,$A7,Unpivoted!$B$4:$B$23,"Q2")</f>
        <v>2400</v>
      </c>
      <c r="D7" s="3">
        <f>SUMIFS(Unpivoted!$C$4:$C$23,Unpivoted!$A$4:$A$23,$A7,Unpivoted!$B$4:$B$23,"Q3")</f>
        <v>2600</v>
      </c>
      <c r="E7" s="3">
        <f>SUMIFS(Unpivoted!$C$4:$C$23,Unpivoted!$A$4:$A$23,$A7,Unpivoted!$B$4:$B$23,"Q4")</f>
        <v>2800</v>
      </c>
      <c r="F7" s="4">
        <f>SUM(B7:E7)</f>
        <v>10000</v>
      </c>
      <c r="H7" s="2" t="s">
        <v>17</v>
      </c>
      <c r="I7" s="5">
        <f>E4</f>
        <v>2700</v>
      </c>
      <c r="J7" s="5">
        <f>E5</f>
        <v>3100</v>
      </c>
      <c r="K7" s="5">
        <f>E6</f>
        <v>2300</v>
      </c>
      <c r="L7" s="5">
        <f>E7</f>
        <v>2800</v>
      </c>
      <c r="M7" s="5">
        <f>E8</f>
        <v>2900</v>
      </c>
    </row>
    <row r="8" spans="1:13" x14ac:dyDescent="0.3">
      <c r="A8" s="1" t="str">
        <f>INDEX(PivotUnpivotData!$A$2:$A$6,5)</f>
        <v>Eva</v>
      </c>
      <c r="B8" s="3">
        <f>SUMIFS(Unpivoted!$C$4:$C$23,Unpivoted!$A$4:$A$23,$A8,Unpivoted!$B$4:$B$23,"Q1")</f>
        <v>2100</v>
      </c>
      <c r="C8" s="3">
        <f>SUMIFS(Unpivoted!$C$4:$C$23,Unpivoted!$A$4:$A$23,$A8,Unpivoted!$B$4:$B$23,"Q2")</f>
        <v>2500</v>
      </c>
      <c r="D8" s="3">
        <f>SUMIFS(Unpivoted!$C$4:$C$23,Unpivoted!$A$4:$A$23,$A8,Unpivoted!$B$4:$B$23,"Q3")</f>
        <v>2700</v>
      </c>
      <c r="E8" s="3">
        <f>SUMIFS(Unpivoted!$C$4:$C$23,Unpivoted!$A$4:$A$23,$A8,Unpivoted!$B$4:$B$23,"Q4")</f>
        <v>2900</v>
      </c>
      <c r="F8" s="4">
        <f>SUM(B8:E8)</f>
        <v>10200</v>
      </c>
    </row>
    <row r="9" spans="1:13" x14ac:dyDescent="0.3">
      <c r="A9" s="6" t="s">
        <v>19</v>
      </c>
      <c r="B9" s="7">
        <f>SUM(B4:B8)</f>
        <v>10600</v>
      </c>
      <c r="C9" s="7">
        <f>SUM(C4:C8)</f>
        <v>11800</v>
      </c>
      <c r="D9" s="7">
        <f>SUM(D4:D8)</f>
        <v>12800</v>
      </c>
      <c r="E9" s="7">
        <f>SUM(E4:E8)</f>
        <v>13800</v>
      </c>
      <c r="F9" s="7">
        <f>SUM(F4:F8)</f>
        <v>49000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PivotUnpivotData</vt:lpstr>
      <vt:lpstr>Unpivoted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Pijush Das [MCA - 2025]</cp:lastModifiedBy>
  <cp:revision>1</cp:revision>
  <dcterms:created xsi:type="dcterms:W3CDTF">2025-06-26T15:50:08Z</dcterms:created>
  <dcterms:modified xsi:type="dcterms:W3CDTF">2026-10-08T14:48:08Z</dcterms:modified>
  <dc:language>en-US</dc:language>
</cp:coreProperties>
</file>