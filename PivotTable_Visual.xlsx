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71FB5497-3AAB-47C1-8B7A-D9904556DB4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lumn Chart" sheetId="1" r:id="rId1"/>
    <sheet name="Pie Chart" sheetId="2" r:id="rId2"/>
    <sheet name="Combo_Chart" sheetId="3" r:id="rId3"/>
    <sheet name="Bar_Chart" sheetId="4" r:id="rId4"/>
    <sheet name="Dashboard" sheetId="5" r:id="rId5"/>
    <sheet name="Data" sheetId="6" r:id="rId6"/>
  </sheets>
  <definedNames>
    <definedName name="NativeTimeline_Date">#N/A</definedName>
  </definedName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6" l="1"/>
  <c r="U2" i="6"/>
  <c r="T2" i="6" s="1"/>
  <c r="AH15" i="5"/>
  <c r="AH14" i="5"/>
  <c r="AH13" i="5"/>
  <c r="AH12" i="5"/>
  <c r="AH11" i="5"/>
  <c r="AH10" i="5"/>
  <c r="AH9" i="5"/>
  <c r="AH8" i="5"/>
  <c r="AH7" i="5"/>
  <c r="AH6" i="5"/>
  <c r="AH5" i="5"/>
  <c r="AE5" i="5"/>
  <c r="U5" i="5"/>
  <c r="Q5" i="5"/>
  <c r="M5" i="5"/>
  <c r="I5" i="5"/>
  <c r="E5" i="5"/>
  <c r="A5" i="5"/>
  <c r="AH4" i="5"/>
  <c r="AE4" i="5"/>
  <c r="AB4" i="5"/>
  <c r="AH3" i="5"/>
  <c r="AE3" i="5"/>
  <c r="AB3" i="5"/>
  <c r="AH2" i="5"/>
  <c r="AE2" i="5"/>
  <c r="AB2" i="5"/>
  <c r="AH1" i="5"/>
  <c r="O46" i="5" s="1"/>
  <c r="AE1" i="5"/>
  <c r="H46" i="5" s="1"/>
  <c r="AB1" i="5"/>
  <c r="A46" i="5" s="1"/>
  <c r="C7" i="3"/>
  <c r="C6" i="3"/>
  <c r="C5" i="3"/>
  <c r="C4" i="3"/>
  <c r="C8" i="3" s="1"/>
  <c r="D7" i="1"/>
  <c r="C7" i="1"/>
  <c r="D6" i="1"/>
  <c r="C6" i="1"/>
  <c r="D5" i="1"/>
  <c r="C5" i="1"/>
  <c r="C8" i="1" s="1"/>
  <c r="D4" i="1"/>
  <c r="D8" i="1" s="1"/>
  <c r="C4" i="1"/>
</calcChain>
</file>

<file path=xl/sharedStrings.xml><?xml version="1.0" encoding="utf-8"?>
<sst xmlns="http://schemas.openxmlformats.org/spreadsheetml/2006/main" count="1099" uniqueCount="74">
  <si>
    <t>Month</t>
  </si>
  <si>
    <t>- all -</t>
  </si>
  <si>
    <t>Region</t>
  </si>
  <si>
    <t>Total_Sales</t>
  </si>
  <si>
    <t>Total_Sales_GST</t>
  </si>
  <si>
    <t>GST_Value</t>
  </si>
  <si>
    <t>East</t>
  </si>
  <si>
    <t>North</t>
  </si>
  <si>
    <t>South</t>
  </si>
  <si>
    <t>West</t>
  </si>
  <si>
    <t>Total Result</t>
  </si>
  <si>
    <t>Category</t>
  </si>
  <si>
    <t>Books</t>
  </si>
  <si>
    <t>Clothing</t>
  </si>
  <si>
    <t>Electronics</t>
  </si>
  <si>
    <t>Food</t>
  </si>
  <si>
    <t>Furniture</t>
  </si>
  <si>
    <t>Product</t>
  </si>
  <si>
    <t>Sum of Total Sales</t>
  </si>
  <si>
    <t>Bread</t>
  </si>
  <si>
    <t>Chair</t>
  </si>
  <si>
    <t>Fiction</t>
  </si>
  <si>
    <t>Fruits</t>
  </si>
  <si>
    <t>Headphones</t>
  </si>
  <si>
    <t>History</t>
  </si>
  <si>
    <t>Jacket</t>
  </si>
  <si>
    <t>Laptop</t>
  </si>
  <si>
    <t>Milk</t>
  </si>
  <si>
    <t>Pants</t>
  </si>
  <si>
    <t>Science</t>
  </si>
  <si>
    <t>Shirt</t>
  </si>
  <si>
    <t>Smartphone</t>
  </si>
  <si>
    <t>Sofa</t>
  </si>
  <si>
    <t>Table</t>
  </si>
  <si>
    <t>Sales Performance Dashboard</t>
  </si>
  <si>
    <t>Retail Sales Analysis — FY2023-2024</t>
  </si>
  <si>
    <t>Total Sales</t>
  </si>
  <si>
    <t>Total Target</t>
  </si>
  <si>
    <t>Target Achievement</t>
  </si>
  <si>
    <t>Total Orders</t>
  </si>
  <si>
    <t>Avg Order Value</t>
  </si>
  <si>
    <t>Total GST Value (18%)</t>
  </si>
  <si>
    <t>Top Performers</t>
  </si>
  <si>
    <t>Top Region</t>
  </si>
  <si>
    <t>Top Category</t>
  </si>
  <si>
    <t>Top Product</t>
  </si>
  <si>
    <t>SaleID</t>
  </si>
  <si>
    <t>Date</t>
  </si>
  <si>
    <t>Quantity</t>
  </si>
  <si>
    <t>UnitPrice</t>
  </si>
  <si>
    <t>Target</t>
  </si>
  <si>
    <t>Year</t>
  </si>
  <si>
    <t>Quarter</t>
  </si>
  <si>
    <t>Target_Left</t>
  </si>
  <si>
    <t>Checkbox</t>
  </si>
  <si>
    <t>Dropdown</t>
  </si>
  <si>
    <t>2023Q2</t>
  </si>
  <si>
    <t>May</t>
  </si>
  <si>
    <t>Sales</t>
  </si>
  <si>
    <t>2023Q1</t>
  </si>
  <si>
    <t>January</t>
  </si>
  <si>
    <t>2023Q4</t>
  </si>
  <si>
    <t>October</t>
  </si>
  <si>
    <t>April</t>
  </si>
  <si>
    <t>June</t>
  </si>
  <si>
    <t>2023Q3</t>
  </si>
  <si>
    <t>July</t>
  </si>
  <si>
    <t>December</t>
  </si>
  <si>
    <t>February</t>
  </si>
  <si>
    <t>March</t>
  </si>
  <si>
    <t>August</t>
  </si>
  <si>
    <t>September</t>
  </si>
  <si>
    <t>November</t>
  </si>
  <si>
    <t>2024Q1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</si>
</sst>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 &quot;#,##0.00"/>
    <numFmt numFmtId="165" formatCode="\$#,##0"/>
    <numFmt numFmtId="166" formatCode="0.0%"/>
    <numFmt numFmtId="167" formatCode="m/d/yyyy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</font>
    <font>
      <b/>
      <sz val="22"/>
      <color rgb="FFFFFFFF"/>
      <name val="Arial"/>
      <family val="2"/>
    </font>
    <font>
      <i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16"/>
      <color rgb="FF2E75B6"/>
      <name val="Arial"/>
      <family val="2"/>
    </font>
    <font>
      <b/>
      <sz val="16"/>
      <color rgb="FF548235"/>
      <name val="Arial"/>
      <family val="2"/>
    </font>
    <font>
      <b/>
      <sz val="16"/>
      <color rgb="FF833C00"/>
      <name val="Arial"/>
      <family val="2"/>
    </font>
    <font>
      <b/>
      <sz val="16"/>
      <color rgb="FFBF8F00"/>
      <name val="Arial"/>
      <family val="2"/>
    </font>
    <font>
      <b/>
      <sz val="12"/>
      <color rgb="FFFFFFFF"/>
      <name val="Arial"/>
      <family val="2"/>
    </font>
    <font>
      <b/>
      <sz val="14"/>
      <color rgb="FF548235"/>
      <name val="Arial"/>
      <family val="2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54061"/>
      </patternFill>
    </fill>
    <fill>
      <patternFill patternType="solid">
        <fgColor rgb="FF2E75B6"/>
        <bgColor rgb="FF397BCA"/>
      </patternFill>
    </fill>
    <fill>
      <patternFill patternType="solid">
        <fgColor rgb="FF548235"/>
        <bgColor rgb="FF779637"/>
      </patternFill>
    </fill>
    <fill>
      <patternFill patternType="solid">
        <fgColor rgb="FF833C00"/>
        <bgColor rgb="FF9C2F2C"/>
      </patternFill>
    </fill>
    <fill>
      <patternFill patternType="solid">
        <fgColor rgb="FFBF8F00"/>
        <bgColor rgb="FFF7964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12" fillId="0" borderId="0">
      <alignment horizontal="left"/>
    </xf>
    <xf numFmtId="0" fontId="12" fillId="0" borderId="0"/>
    <xf numFmtId="0" fontId="12" fillId="0" borderId="0"/>
    <xf numFmtId="0" fontId="1" fillId="0" borderId="0"/>
    <xf numFmtId="0" fontId="1" fillId="0" borderId="0">
      <alignment horizontal="left"/>
    </xf>
    <xf numFmtId="0" fontId="12" fillId="0" borderId="0"/>
  </cellStyleXfs>
  <cellXfs count="39">
    <xf numFmtId="0" fontId="0" fillId="0" borderId="0" xfId="0"/>
    <xf numFmtId="0" fontId="11" fillId="7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165" fontId="9" fillId="7" borderId="12" xfId="0" applyNumberFormat="1" applyFont="1" applyFill="1" applyBorder="1" applyAlignment="1">
      <alignment horizontal="center" vertical="center"/>
    </xf>
    <xf numFmtId="165" fontId="8" fillId="7" borderId="12" xfId="0" applyNumberFormat="1" applyFont="1" applyFill="1" applyBorder="1" applyAlignment="1">
      <alignment horizontal="center" vertical="center"/>
    </xf>
    <xf numFmtId="3" fontId="8" fillId="7" borderId="12" xfId="0" applyNumberFormat="1" applyFont="1" applyFill="1" applyBorder="1" applyAlignment="1">
      <alignment horizontal="center" vertical="center"/>
    </xf>
    <xf numFmtId="166" fontId="7" fillId="7" borderId="12" xfId="0" applyNumberFormat="1" applyFont="1" applyFill="1" applyBorder="1" applyAlignment="1">
      <alignment horizontal="center" vertical="center"/>
    </xf>
    <xf numFmtId="165" fontId="6" fillId="7" borderId="12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3" applyFont="1"/>
    <xf numFmtId="0" fontId="0" fillId="0" borderId="1" xfId="0" applyFont="1" applyBorder="1"/>
    <xf numFmtId="0" fontId="0" fillId="0" borderId="2" xfId="3" applyFont="1" applyBorder="1"/>
    <xf numFmtId="0" fontId="0" fillId="0" borderId="3" xfId="2" applyFont="1" applyBorder="1"/>
    <xf numFmtId="0" fontId="2" fillId="0" borderId="0" xfId="0" applyFont="1"/>
    <xf numFmtId="0" fontId="0" fillId="0" borderId="4" xfId="1" applyFont="1" applyBorder="1">
      <alignment horizontal="left"/>
    </xf>
    <xf numFmtId="164" fontId="12" fillId="0" borderId="5" xfId="6" applyNumberFormat="1" applyBorder="1"/>
    <xf numFmtId="0" fontId="0" fillId="0" borderId="6" xfId="1" applyFont="1" applyBorder="1">
      <alignment horizontal="left"/>
    </xf>
    <xf numFmtId="164" fontId="12" fillId="0" borderId="7" xfId="6" applyNumberFormat="1" applyBorder="1"/>
    <xf numFmtId="164" fontId="12" fillId="0" borderId="8" xfId="6" applyNumberFormat="1" applyBorder="1"/>
    <xf numFmtId="0" fontId="1" fillId="0" borderId="9" xfId="5" applyFont="1" applyBorder="1">
      <alignment horizontal="left"/>
    </xf>
    <xf numFmtId="164" fontId="1" fillId="0" borderId="10" xfId="4" applyNumberFormat="1" applyBorder="1"/>
    <xf numFmtId="164" fontId="0" fillId="0" borderId="0" xfId="0" applyNumberFormat="1" applyAlignment="1"/>
    <xf numFmtId="1" fontId="0" fillId="0" borderId="0" xfId="0" applyNumberFormat="1" applyAlignment="1"/>
    <xf numFmtId="49" fontId="0" fillId="0" borderId="0" xfId="0" applyNumberFormat="1" applyAlignment="1"/>
    <xf numFmtId="167" fontId="0" fillId="0" borderId="0" xfId="0" applyNumberFormat="1" applyAlignment="1"/>
    <xf numFmtId="1" fontId="1" fillId="8" borderId="1" xfId="0" applyNumberFormat="1" applyFont="1" applyFill="1" applyBorder="1" applyAlignment="1">
      <alignment horizontal="center" vertical="top"/>
    </xf>
    <xf numFmtId="49" fontId="1" fillId="8" borderId="1" xfId="0" applyNumberFormat="1" applyFont="1" applyFill="1" applyBorder="1" applyAlignment="1">
      <alignment horizontal="center" vertical="top"/>
    </xf>
    <xf numFmtId="167" fontId="1" fillId="8" borderId="1" xfId="0" applyNumberFormat="1" applyFont="1" applyFill="1" applyBorder="1" applyAlignment="1">
      <alignment horizontal="center" vertical="top"/>
    </xf>
    <xf numFmtId="164" fontId="1" fillId="8" borderId="1" xfId="0" applyNumberFormat="1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0" xfId="0" applyAlignme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548235"/>
      <rgbColor rgb="FF000080"/>
      <rgbColor rgb="FF779637"/>
      <rgbColor rgb="FF7B57A7"/>
      <rgbColor rgb="FF2E5F99"/>
      <rgbColor rgb="FFBFBFBF"/>
      <rgbColor rgb="FF878787"/>
      <rgbColor rgb="FF4BACC6"/>
      <rgbColor rgb="FF9C2F2C"/>
      <rgbColor rgb="FFF2F2F2"/>
      <rgbColor rgb="FFCCFFFF"/>
      <rgbColor rgb="FF5E437F"/>
      <rgbColor rgb="FFBF8F0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B3B3B3"/>
      <rgbColor rgb="FFC4BD97"/>
      <rgbColor rgb="FF397BCA"/>
      <rgbColor rgb="FF34B3D5"/>
      <rgbColor rgb="FF9CC745"/>
      <rgbColor rgb="FF9BBB59"/>
      <rgbColor rgb="FFF79646"/>
      <rgbColor rgb="FFCE3A36"/>
      <rgbColor rgb="FF8064A2"/>
      <rgbColor rgb="FF8B8B8B"/>
      <rgbColor rgb="FF1F4E78"/>
      <rgbColor rgb="FF2988A1"/>
      <rgbColor rgb="FF595959"/>
      <rgbColor rgb="FF404040"/>
      <rgbColor rgb="FF833C00"/>
      <rgbColor rgb="FFC0504D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IN" sz="1600" b="1" strike="noStrike" spc="94">
                <a:solidFill>
                  <a:srgbClr val="F2F2F2"/>
                </a:solidFill>
                <a:latin typeface="Calibri"/>
              </a:rPr>
              <a:t>Analysis of Region-wise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</a:ln>
      </c:spPr>
    </c:floor>
    <c:sideWall>
      <c:thickness val="0"/>
      <c:spPr>
        <a:noFill/>
        <a:ln w="9360">
          <a:noFill/>
        </a:ln>
      </c:spPr>
    </c:sideWall>
    <c:backWall>
      <c:thickness val="0"/>
      <c:spPr>
        <a:noFill/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1-4DFC-9821-F2170436E23D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1-4DFC-9821-F2170436E23D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Chart'!$D$4:$D$8</c:f>
              <c:numCache>
                <c:formatCode>General</c:formatCode>
                <c:ptCount val="5"/>
                <c:pt idx="0">
                  <c:v>33504.299999999996</c:v>
                </c:pt>
                <c:pt idx="1">
                  <c:v>25606.44</c:v>
                </c:pt>
                <c:pt idx="2">
                  <c:v>26520.12</c:v>
                </c:pt>
                <c:pt idx="3">
                  <c:v>23366.16</c:v>
                </c:pt>
                <c:pt idx="4">
                  <c:v>108997.01999999999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1-4DFC-9821-F2170436E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99343"/>
        <c:axId val="39242429"/>
        <c:axId val="0"/>
      </c:bar3DChart>
      <c:catAx>
        <c:axId val="186993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9242429"/>
        <c:crosses val="autoZero"/>
        <c:auto val="1"/>
        <c:lblAlgn val="ctr"/>
        <c:lblOffset val="100"/>
        <c:noMultiLvlLbl val="0"/>
      </c:catAx>
      <c:valAx>
        <c:axId val="39242429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18699343"/>
        <c:crosses val="autoZero"/>
        <c:crossBetween val="between"/>
      </c:valAx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4">
                <a:solidFill>
                  <a:srgbClr val="F2F2F2"/>
                </a:solidFill>
                <a:latin typeface="Calibri"/>
              </a:rPr>
              <a:t>Category-wise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81-4585-962F-7EEC7E6082C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81-4585-962F-7EEC7E6082C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81-4585-962F-7EEC7E6082CD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981-4585-962F-7EEC7E6082CD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981-4585-962F-7EEC7E6082C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981-4585-962F-7EEC7E6082C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981-4585-962F-7EEC7E6082C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981-4585-962F-7EEC7E6082C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981-4585-962F-7EEC7E6082C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981-4585-962F-7EEC7E6082C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981-4585-962F-7EEC7E6082C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981-4585-962F-7EEC7E6082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Total Result</c:v>
                </c:pt>
              </c:strCache>
            </c:strRef>
          </c:cat>
          <c:val>
            <c:numRef>
              <c:f>'Pie Chart'!$B$4:$B$9</c:f>
              <c:numCache>
                <c:formatCode>"₹ "#,##0.00</c:formatCode>
                <c:ptCount val="6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  <c:pt idx="5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81-4585-962F-7EEC7E60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IN" sz="1600" b="1" strike="noStrike" spc="94">
                <a:solidFill>
                  <a:srgbClr val="F2F2F2"/>
                </a:solidFill>
                <a:latin typeface="Calibri"/>
              </a:rPr>
              <a:t>Combination Chart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8-4316-AB09-51CE99D22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28548"/>
        <c:axId val="15105501"/>
      </c:areaChart>
      <c:barChart>
        <c:barDir val="col"/>
        <c:grouping val="stack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8-4316-AB09-51CE99D22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030567"/>
        <c:axId val="3543964"/>
      </c:barChart>
      <c:catAx>
        <c:axId val="25528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05501"/>
        <c:crosses val="autoZero"/>
        <c:auto val="1"/>
        <c:lblAlgn val="ctr"/>
        <c:lblOffset val="100"/>
        <c:noMultiLvlLbl val="0"/>
      </c:catAx>
      <c:valAx>
        <c:axId val="15105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₹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8548"/>
        <c:crosses val="autoZero"/>
        <c:crossBetween val="midCat"/>
      </c:valAx>
      <c:catAx>
        <c:axId val="840305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543964"/>
        <c:crosses val="autoZero"/>
        <c:auto val="1"/>
        <c:lblAlgn val="ctr"/>
        <c:lblOffset val="100"/>
        <c:noMultiLvlLbl val="0"/>
      </c:catAx>
      <c:valAx>
        <c:axId val="3543964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840305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FFFFFF"/>
                </a:solidFill>
                <a:latin typeface="Calibri"/>
              </a:defRPr>
            </a:pPr>
            <a:r>
              <a:rPr lang="en-US" sz="1800" b="0" strike="noStrike" spc="-1">
                <a:solidFill>
                  <a:srgbClr val="FFFFFF"/>
                </a:solidFill>
                <a:latin typeface="Calibri"/>
              </a:rPr>
              <a:t>Product-wise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solidFill>
          <a:srgbClr val="C4BD97"/>
        </a:solidFill>
        <a:ln w="9360">
          <a:noFill/>
        </a:ln>
      </c:spPr>
    </c:floor>
    <c:sideWall>
      <c:thickness val="0"/>
      <c:spPr>
        <a:noFill/>
        <a:ln w="9360">
          <a:noFill/>
        </a:ln>
      </c:spPr>
    </c:sideWall>
    <c:backWall>
      <c:thickness val="0"/>
      <c:spPr>
        <a:noFill/>
        <a:ln w="936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254061"/>
              </a:solidFill>
            </a:ln>
          </c:spPr>
          <c:invertIfNegative val="0"/>
          <c:dLbls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Bar_Chart!$A$4:$A$19</c:f>
              <c:strCache>
                <c:ptCount val="16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  <c:pt idx="15">
                  <c:v>Total Result</c:v>
                </c:pt>
              </c:strCache>
            </c:strRef>
          </c:cat>
          <c:val>
            <c:numRef>
              <c:f>Bar_Chart!$B$4:$B$19</c:f>
              <c:numCache>
                <c:formatCode>"₹ "#,##0.00</c:formatCode>
                <c:ptCount val="16"/>
                <c:pt idx="0">
                  <c:v>65625</c:v>
                </c:pt>
                <c:pt idx="1">
                  <c:v>26497</c:v>
                </c:pt>
                <c:pt idx="2">
                  <c:v>48978</c:v>
                </c:pt>
                <c:pt idx="3">
                  <c:v>51776</c:v>
                </c:pt>
                <c:pt idx="4">
                  <c:v>45484</c:v>
                </c:pt>
                <c:pt idx="5">
                  <c:v>48227</c:v>
                </c:pt>
                <c:pt idx="6">
                  <c:v>37445</c:v>
                </c:pt>
                <c:pt idx="7">
                  <c:v>46236</c:v>
                </c:pt>
                <c:pt idx="8">
                  <c:v>37745</c:v>
                </c:pt>
                <c:pt idx="9">
                  <c:v>34282</c:v>
                </c:pt>
                <c:pt idx="10">
                  <c:v>31174</c:v>
                </c:pt>
                <c:pt idx="11">
                  <c:v>32798</c:v>
                </c:pt>
                <c:pt idx="12">
                  <c:v>32522</c:v>
                </c:pt>
                <c:pt idx="13">
                  <c:v>30232</c:v>
                </c:pt>
                <c:pt idx="14">
                  <c:v>36518</c:v>
                </c:pt>
                <c:pt idx="15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8-4ADE-AA2B-01B9E91CA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shape val="box"/>
        <c:axId val="62071865"/>
        <c:axId val="57214641"/>
        <c:axId val="0"/>
      </c:bar3DChart>
      <c:catAx>
        <c:axId val="6207186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57214641"/>
        <c:crosses val="autoZero"/>
        <c:auto val="1"/>
        <c:lblAlgn val="ctr"/>
        <c:lblOffset val="100"/>
        <c:noMultiLvlLbl val="0"/>
      </c:catAx>
      <c:valAx>
        <c:axId val="57214641"/>
        <c:scaling>
          <c:orientation val="minMax"/>
        </c:scaling>
        <c:delete val="1"/>
        <c:axPos val="b"/>
        <c:numFmt formatCode="&quot;₹ &quot;#,##0.00" sourceLinked="1"/>
        <c:majorTickMark val="out"/>
        <c:minorTickMark val="none"/>
        <c:tickLblPos val="nextTo"/>
        <c:crossAx val="62071865"/>
        <c:crosses val="autoZero"/>
        <c:crossBetween val="between"/>
      </c:valAx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6480">
      <a:solidFill>
        <a:srgbClr val="8B8B8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IN" sz="1600" b="1" strike="noStrike" spc="94">
                <a:solidFill>
                  <a:srgbClr val="F2F2F2"/>
                </a:solidFill>
                <a:latin typeface="Calibri"/>
              </a:rPr>
              <a:t>Analysis of Region-wise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</a:ln>
      </c:spPr>
    </c:floor>
    <c:sideWall>
      <c:thickness val="0"/>
      <c:spPr>
        <a:noFill/>
        <a:ln w="9360">
          <a:noFill/>
        </a:ln>
      </c:spPr>
    </c:sideWall>
    <c:backWall>
      <c:thickness val="0"/>
      <c:spPr>
        <a:noFill/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E-453D-A3D4-21B6F6EB1EF3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E-453D-A3D4-21B6F6EB1EF3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Chart'!$D$4:$D$8</c:f>
              <c:numCache>
                <c:formatCode>General</c:formatCode>
                <c:ptCount val="5"/>
                <c:pt idx="0">
                  <c:v>33504.299999999996</c:v>
                </c:pt>
                <c:pt idx="1">
                  <c:v>25606.44</c:v>
                </c:pt>
                <c:pt idx="2">
                  <c:v>26520.12</c:v>
                </c:pt>
                <c:pt idx="3">
                  <c:v>23366.16</c:v>
                </c:pt>
                <c:pt idx="4">
                  <c:v>108997.01999999999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E-453D-A3D4-21B6F6EB1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45550"/>
        <c:axId val="91369021"/>
        <c:axId val="0"/>
      </c:bar3DChart>
      <c:catAx>
        <c:axId val="959455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91369021"/>
        <c:crosses val="autoZero"/>
        <c:auto val="1"/>
        <c:lblAlgn val="ctr"/>
        <c:lblOffset val="100"/>
        <c:noMultiLvlLbl val="0"/>
      </c:catAx>
      <c:valAx>
        <c:axId val="91369021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95945550"/>
        <c:crosses val="autoZero"/>
        <c:crossBetween val="between"/>
      </c:valAx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4">
                <a:solidFill>
                  <a:srgbClr val="F2F2F2"/>
                </a:solidFill>
                <a:latin typeface="Calibri"/>
              </a:rPr>
              <a:t>Category-wise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DBA-47B1-9852-CFB124A5713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BA-47B1-9852-CFB124A57132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BA-47B1-9852-CFB124A57132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BA-47B1-9852-CFB124A57132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BA-47B1-9852-CFB124A57132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DBA-47B1-9852-CFB124A5713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DBA-47B1-9852-CFB124A5713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DBA-47B1-9852-CFB124A5713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DBA-47B1-9852-CFB124A5713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DBA-47B1-9852-CFB124A5713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DBA-47B1-9852-CFB124A5713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DBA-47B1-9852-CFB124A571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Total Result</c:v>
                </c:pt>
              </c:strCache>
            </c:strRef>
          </c:cat>
          <c:val>
            <c:numRef>
              <c:f>'Pie Chart'!$B$4:$B$9</c:f>
              <c:numCache>
                <c:formatCode>"₹ "#,##0.00</c:formatCode>
                <c:ptCount val="6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  <c:pt idx="5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BA-47B1-9852-CFB124A57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IN" sz="1600" b="1" strike="noStrike" spc="94">
                <a:solidFill>
                  <a:srgbClr val="F2F2F2"/>
                </a:solidFill>
                <a:latin typeface="Calibri"/>
              </a:rPr>
              <a:t>Combination Chart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D-4705-9E1F-EC48696B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06112"/>
        <c:axId val="14060927"/>
      </c:areaChart>
      <c:barChart>
        <c:barDir val="col"/>
        <c:grouping val="stack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D-4705-9E1F-EC48696B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016778"/>
        <c:axId val="37193991"/>
      </c:barChart>
      <c:catAx>
        <c:axId val="811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60927"/>
        <c:crosses val="autoZero"/>
        <c:auto val="1"/>
        <c:lblAlgn val="ctr"/>
        <c:lblOffset val="100"/>
        <c:noMultiLvlLbl val="0"/>
      </c:catAx>
      <c:valAx>
        <c:axId val="14060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₹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06112"/>
        <c:crosses val="autoZero"/>
        <c:crossBetween val="midCat"/>
      </c:valAx>
      <c:catAx>
        <c:axId val="660167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7193991"/>
        <c:crosses val="autoZero"/>
        <c:auto val="1"/>
        <c:lblAlgn val="ctr"/>
        <c:lblOffset val="100"/>
        <c:noMultiLvlLbl val="0"/>
      </c:catAx>
      <c:valAx>
        <c:axId val="37193991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660167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FFFFFF"/>
                </a:solidFill>
                <a:latin typeface="Calibri"/>
              </a:defRPr>
            </a:pPr>
            <a:r>
              <a:rPr lang="en-US" sz="1800" b="0" strike="noStrike" spc="-1">
                <a:solidFill>
                  <a:srgbClr val="FFFFFF"/>
                </a:solidFill>
                <a:latin typeface="Calibri"/>
              </a:rPr>
              <a:t>Product-wise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solidFill>
          <a:srgbClr val="C4BD97"/>
        </a:solidFill>
        <a:ln w="9360">
          <a:noFill/>
        </a:ln>
      </c:spPr>
    </c:floor>
    <c:sideWall>
      <c:thickness val="0"/>
      <c:spPr>
        <a:noFill/>
        <a:ln w="9360">
          <a:noFill/>
        </a:ln>
      </c:spPr>
    </c:sideWall>
    <c:backWall>
      <c:thickness val="0"/>
      <c:spPr>
        <a:gradFill>
          <a:gsLst>
            <a:gs pos="0">
              <a:srgbClr val="002060"/>
            </a:gs>
            <a:gs pos="100000">
              <a:srgbClr val="262626"/>
            </a:gs>
          </a:gsLst>
          <a:path path="circle">
            <a:fillToRect l="50000" t="50000" r="50000" b="50000"/>
          </a:path>
        </a:gradFill>
        <a:ln w="936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254061"/>
              </a:solidFill>
            </a:ln>
          </c:spPr>
          <c:invertIfNegative val="0"/>
          <c:dLbls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Bar_Chart!$A$4:$A$19</c:f>
              <c:strCache>
                <c:ptCount val="16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  <c:pt idx="15">
                  <c:v>Total Result</c:v>
                </c:pt>
              </c:strCache>
            </c:strRef>
          </c:cat>
          <c:val>
            <c:numRef>
              <c:f>Bar_Chart!$B$4:$B$19</c:f>
              <c:numCache>
                <c:formatCode>"₹ "#,##0.00</c:formatCode>
                <c:ptCount val="16"/>
                <c:pt idx="0">
                  <c:v>65625</c:v>
                </c:pt>
                <c:pt idx="1">
                  <c:v>26497</c:v>
                </c:pt>
                <c:pt idx="2">
                  <c:v>48978</c:v>
                </c:pt>
                <c:pt idx="3">
                  <c:v>51776</c:v>
                </c:pt>
                <c:pt idx="4">
                  <c:v>45484</c:v>
                </c:pt>
                <c:pt idx="5">
                  <c:v>48227</c:v>
                </c:pt>
                <c:pt idx="6">
                  <c:v>37445</c:v>
                </c:pt>
                <c:pt idx="7">
                  <c:v>46236</c:v>
                </c:pt>
                <c:pt idx="8">
                  <c:v>37745</c:v>
                </c:pt>
                <c:pt idx="9">
                  <c:v>34282</c:v>
                </c:pt>
                <c:pt idx="10">
                  <c:v>31174</c:v>
                </c:pt>
                <c:pt idx="11">
                  <c:v>32798</c:v>
                </c:pt>
                <c:pt idx="12">
                  <c:v>32522</c:v>
                </c:pt>
                <c:pt idx="13">
                  <c:v>30232</c:v>
                </c:pt>
                <c:pt idx="14">
                  <c:v>36518</c:v>
                </c:pt>
                <c:pt idx="15">
                  <c:v>605539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9-4953-AE64-088B266A2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shape val="box"/>
        <c:axId val="148495"/>
        <c:axId val="38309913"/>
        <c:axId val="0"/>
      </c:bar3DChart>
      <c:catAx>
        <c:axId val="14849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38309913"/>
        <c:crosses val="autoZero"/>
        <c:auto val="1"/>
        <c:lblAlgn val="ctr"/>
        <c:lblOffset val="100"/>
        <c:noMultiLvlLbl val="0"/>
      </c:catAx>
      <c:valAx>
        <c:axId val="38309913"/>
        <c:scaling>
          <c:orientation val="minMax"/>
        </c:scaling>
        <c:delete val="1"/>
        <c:axPos val="b"/>
        <c:numFmt formatCode="&quot;₹ &quot;#,##0.00" sourceLinked="1"/>
        <c:majorTickMark val="out"/>
        <c:minorTickMark val="none"/>
        <c:tickLblPos val="nextTo"/>
        <c:crossAx val="148495"/>
        <c:crosses val="autoZero"/>
        <c:crossBetween val="between"/>
      </c:valAx>
    </c:plotArea>
    <c:plotVisOnly val="1"/>
    <c:dispBlanksAs val="gap"/>
    <c:showDLblsOverMax val="1"/>
  </c:chart>
  <c:spPr>
    <a:gradFill>
      <a:gsLst>
        <a:gs pos="0">
          <a:srgbClr val="002060"/>
        </a:gs>
        <a:gs pos="100000">
          <a:srgbClr val="262626"/>
        </a:gs>
      </a:gsLst>
      <a:path path="circle">
        <a:fillToRect l="50000" t="50000" r="50000" b="50000"/>
      </a:path>
    </a:gradFill>
    <a:ln w="6480">
      <a:solidFill>
        <a:srgbClr val="8B8B8B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178200</xdr:colOff>
      <xdr:row>0</xdr:row>
      <xdr:rowOff>127800</xdr:rowOff>
    </xdr:from>
    <xdr:to>
      <xdr:col>21</xdr:col>
      <xdr:colOff>182520</xdr:colOff>
      <xdr:row>15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77040</xdr:colOff>
      <xdr:row>0</xdr:row>
      <xdr:rowOff>86040</xdr:rowOff>
    </xdr:from>
    <xdr:to>
      <xdr:col>9</xdr:col>
      <xdr:colOff>8280</xdr:colOff>
      <xdr:row>13</xdr:row>
      <xdr:rowOff>135360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180415</xdr:colOff>
      <xdr:row>0</xdr:row>
      <xdr:rowOff>115403</xdr:rowOff>
    </xdr:from>
    <xdr:to>
      <xdr:col>10</xdr:col>
      <xdr:colOff>477775</xdr:colOff>
      <xdr:row>15</xdr:row>
      <xdr:rowOff>73643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44280</xdr:colOff>
      <xdr:row>0</xdr:row>
      <xdr:rowOff>158760</xdr:rowOff>
    </xdr:from>
    <xdr:to>
      <xdr:col>15</xdr:col>
      <xdr:colOff>240480</xdr:colOff>
      <xdr:row>20</xdr:row>
      <xdr:rowOff>18360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28080</xdr:colOff>
      <xdr:row>8</xdr:row>
      <xdr:rowOff>21240</xdr:rowOff>
    </xdr:from>
    <xdr:to>
      <xdr:col>7</xdr:col>
      <xdr:colOff>352080</xdr:colOff>
      <xdr:row>23</xdr:row>
      <xdr:rowOff>11880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388080</xdr:colOff>
      <xdr:row>8</xdr:row>
      <xdr:rowOff>35280</xdr:rowOff>
    </xdr:from>
    <xdr:to>
      <xdr:col>14</xdr:col>
      <xdr:colOff>326520</xdr:colOff>
      <xdr:row>22</xdr:row>
      <xdr:rowOff>175680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386740</xdr:colOff>
      <xdr:row>8</xdr:row>
      <xdr:rowOff>2680</xdr:rowOff>
    </xdr:from>
    <xdr:to>
      <xdr:col>22</xdr:col>
      <xdr:colOff>103780</xdr:colOff>
      <xdr:row>22</xdr:row>
      <xdr:rowOff>171120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63360</xdr:colOff>
      <xdr:row>23</xdr:row>
      <xdr:rowOff>49320</xdr:rowOff>
    </xdr:from>
    <xdr:to>
      <xdr:col>22</xdr:col>
      <xdr:colOff>83880</xdr:colOff>
      <xdr:row>42</xdr:row>
      <xdr:rowOff>106560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00" xr:uid="{00000000-000A-0000-FFFF-FFFF01000000}">
  <cacheSource type="worksheet">
    <worksheetSource ref="A1:L201" sheet="Data"/>
  </cacheSource>
  <cacheFields count="12">
    <cacheField name="Sale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5">
        <s v="Books"/>
        <s v="Clothing"/>
        <s v="Electronics"/>
        <s v="Food"/>
        <s v="Furniture"/>
      </sharedItems>
    </cacheField>
    <cacheField name="Product" numFmtId="0">
      <sharedItems count="15">
        <s v="Bread"/>
        <s v="Chair"/>
        <s v="Fiction"/>
        <s v="Fruits"/>
        <s v="Headphones"/>
        <s v="History"/>
        <s v="Jacket"/>
        <s v="Laptop"/>
        <s v="Milk"/>
        <s v="Pants"/>
        <s v="Science"/>
        <s v="Shirt"/>
        <s v="Smartphone"/>
        <s v="Sofa"/>
        <s v="Table"/>
      </sharedItems>
    </cacheField>
    <cacheField name="Date" numFmtId="0">
      <sharedItems containsSemiMixedTypes="0" containsNonDate="0" containsDate="1" containsString="0" minDate="2023-01-04T00:00:00" maxDate="2024-01-01T00:00:00" count="163">
        <d v="2023-01-04T00:00:00"/>
        <d v="2023-01-07T00:00:00"/>
        <d v="2023-01-11T00:00:00"/>
        <d v="2023-01-17T00:00:00"/>
        <d v="2023-01-27T00:00:00"/>
        <d v="2023-01-29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13T00:00:00"/>
        <d v="2023-02-15T00:00:00"/>
        <d v="2023-02-20T00:00:00"/>
        <d v="2023-02-21T00:00:00"/>
        <d v="2023-02-22T00:00:00"/>
        <d v="2023-02-24T00:00:00"/>
        <d v="2023-02-25T00:00:00"/>
        <d v="2023-03-03T00:00:00"/>
        <d v="2023-03-04T00:00:00"/>
        <d v="2023-03-09T00:00:00"/>
        <d v="2023-03-11T00:00:00"/>
        <d v="2023-03-19T00:00:00"/>
        <d v="2023-03-20T00:00:00"/>
        <d v="2023-03-25T00:00:00"/>
        <d v="2023-03-31T00:00:00"/>
        <d v="2023-04-02T00:00:00"/>
        <d v="2023-04-06T00:00:00"/>
        <d v="2023-04-08T00:00:00"/>
        <d v="2023-04-09T00:00:00"/>
        <d v="2023-04-12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7T00:00:00"/>
        <d v="2023-04-29T00:00:00"/>
        <d v="2023-05-01T00:00:00"/>
        <d v="2023-05-03T00:00:00"/>
        <d v="2023-05-06T00:00:00"/>
        <d v="2023-05-07T00:00:00"/>
        <d v="2023-05-10T00:00:00"/>
        <d v="2023-05-11T00:00:00"/>
        <d v="2023-05-21T00:00:00"/>
        <d v="2023-05-22T00:00:00"/>
        <d v="2023-05-23T00:00:00"/>
        <d v="2023-05-24T00:00:00"/>
        <d v="2023-05-26T00:00:00"/>
        <d v="2023-05-27T00:00:00"/>
        <d v="2023-05-28T00:00:00"/>
        <d v="2023-05-30T00:00:00"/>
        <d v="2023-05-31T00:00:00"/>
        <d v="2023-06-03T00:00:00"/>
        <d v="2023-06-06T00:00:00"/>
        <d v="2023-06-07T00:00:00"/>
        <d v="2023-06-08T00:00:00"/>
        <d v="2023-06-10T00:00:00"/>
        <d v="2023-06-12T00:00:00"/>
        <d v="2023-06-15T00:00:00"/>
        <d v="2023-06-16T00:00:00"/>
        <d v="2023-06-17T00:00:00"/>
        <d v="2023-06-18T00:00:00"/>
        <d v="2023-06-20T00:00:00"/>
        <d v="2023-06-22T00:00:00"/>
        <d v="2023-06-23T00:00:00"/>
        <d v="2023-06-24T00:00:00"/>
        <d v="2023-06-25T00:00:00"/>
        <d v="2023-06-26T00:00:00"/>
        <d v="2023-06-28T00:00:00"/>
        <d v="2023-06-30T00:00:00"/>
        <d v="2023-07-01T00:00:00"/>
        <d v="2023-07-05T00:00:00"/>
        <d v="2023-07-06T00:00:00"/>
        <d v="2023-07-10T00:00:00"/>
        <d v="2023-07-13T00:00:00"/>
        <d v="2023-07-14T00:00:00"/>
        <d v="2023-07-15T00:00:00"/>
        <d v="2023-07-16T00:00:00"/>
        <d v="2023-07-21T00:00:00"/>
        <d v="2023-07-23T00:00:00"/>
        <d v="2023-07-24T00:00:00"/>
        <d v="2023-07-25T00:00:00"/>
        <d v="2023-07-28T00:00:00"/>
        <d v="2023-07-30T00:00:00"/>
        <d v="2023-07-31T00:00:00"/>
        <d v="2023-08-01T00:00:00"/>
        <d v="2023-08-04T00:00:00"/>
        <d v="2023-08-05T00:00:00"/>
        <d v="2023-08-09T00:00:00"/>
        <d v="2023-08-11T00:00:00"/>
        <d v="2023-08-13T00:00:00"/>
        <d v="2023-08-15T00:00:00"/>
        <d v="2023-08-16T00:00:00"/>
        <d v="2023-08-20T00:00:00"/>
        <d v="2023-08-21T00:00:00"/>
        <d v="2023-08-24T00:00:00"/>
        <d v="2023-08-26T00:00:00"/>
        <d v="2023-08-27T00:00:00"/>
        <d v="2023-08-28T00:00:00"/>
        <d v="2023-08-31T00:00:00"/>
        <d v="2023-09-01T00:00:00"/>
        <d v="2023-09-07T00:00:00"/>
        <d v="2023-09-09T00:00:00"/>
        <d v="2023-09-10T00:00:00"/>
        <d v="2023-09-11T00:00:00"/>
        <d v="2023-09-17T00:00:00"/>
        <d v="2023-09-25T00:00:00"/>
        <d v="2023-09-27T00:00:00"/>
        <d v="2023-09-29T00:00:00"/>
        <d v="2023-09-30T00:00:00"/>
        <d v="2023-10-01T00:00:00"/>
        <d v="2023-10-04T00:00:00"/>
        <d v="2023-10-07T00:00:00"/>
        <d v="2023-10-09T00:00:00"/>
        <d v="2023-10-10T00:00:00"/>
        <d v="2023-10-11T00:00:00"/>
        <d v="2023-10-13T00:00:00"/>
        <d v="2023-10-15T00:00:00"/>
        <d v="2023-10-16T00:00:00"/>
        <d v="2023-10-17T00:00:00"/>
        <d v="2023-10-19T00:00:00"/>
        <d v="2023-10-20T00:00:00"/>
        <d v="2023-10-25T00:00:00"/>
        <d v="2023-10-27T00:00:00"/>
        <d v="2023-10-28T00:00:00"/>
        <d v="2023-10-29T00:00:00"/>
        <d v="2023-11-03T00:00:00"/>
        <d v="2023-11-06T00:00:00"/>
        <d v="2023-11-09T00:00:00"/>
        <d v="2023-11-12T00:00:00"/>
        <d v="2023-11-14T00:00:00"/>
        <d v="2023-11-15T00:00:00"/>
        <d v="2023-11-17T00:00:00"/>
        <d v="2023-11-19T00:00:00"/>
        <d v="2023-11-20T00:00:00"/>
        <d v="2023-11-22T00:00:00"/>
        <d v="2023-11-25T00:00:00"/>
        <d v="2023-11-26T00:00:00"/>
        <d v="2023-11-28T00:00:00"/>
        <d v="2023-11-29T00:00:00"/>
        <d v="2023-12-02T00:00:00"/>
        <d v="2023-12-03T00:00:00"/>
        <d v="2023-12-08T00:00:00"/>
        <d v="2023-12-10T00:00:00"/>
        <d v="2023-12-11T00:00:00"/>
        <d v="2023-12-12T00:00:00"/>
        <d v="2023-12-14T00:00:00"/>
        <d v="2023-12-16T00:00:00"/>
        <d v="2023-12-17T00:00:00"/>
        <d v="2023-12-19T00:00:00"/>
        <d v="2023-12-20T00:00:00"/>
        <d v="2023-12-23T00:00:00"/>
        <d v="2023-12-24T00:00:00"/>
        <d v="2023-12-26T00:00:00"/>
        <d v="2023-12-27T00:00:00"/>
        <d v="2024-01-01T00:00:00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Price" numFmtId="0">
      <sharedItems containsSemiMixedTypes="0" containsString="0" containsNumber="1" containsInteger="1" minValue="107" maxValue="993" count="184">
        <n v="107"/>
        <n v="115"/>
        <n v="121"/>
        <n v="126"/>
        <n v="134"/>
        <n v="139"/>
        <n v="142"/>
        <n v="146"/>
        <n v="151"/>
        <n v="152"/>
        <n v="153"/>
        <n v="155"/>
        <n v="162"/>
        <n v="167"/>
        <n v="170"/>
        <n v="171"/>
        <n v="172"/>
        <n v="175"/>
        <n v="177"/>
        <n v="192"/>
        <n v="195"/>
        <n v="199"/>
        <n v="204"/>
        <n v="210"/>
        <n v="219"/>
        <n v="221"/>
        <n v="222"/>
        <n v="229"/>
        <n v="235"/>
        <n v="236"/>
        <n v="241"/>
        <n v="242"/>
        <n v="250"/>
        <n v="256"/>
        <n v="259"/>
        <n v="260"/>
        <n v="267"/>
        <n v="279"/>
        <n v="283"/>
        <n v="286"/>
        <n v="296"/>
        <n v="322"/>
        <n v="326"/>
        <n v="330"/>
        <n v="332"/>
        <n v="337"/>
        <n v="342"/>
        <n v="346"/>
        <n v="349"/>
        <n v="358"/>
        <n v="365"/>
        <n v="370"/>
        <n v="371"/>
        <n v="372"/>
        <n v="373"/>
        <n v="377"/>
        <n v="379"/>
        <n v="381"/>
        <n v="384"/>
        <n v="385"/>
        <n v="394"/>
        <n v="395"/>
        <n v="405"/>
        <n v="406"/>
        <n v="408"/>
        <n v="412"/>
        <n v="416"/>
        <n v="419"/>
        <n v="420"/>
        <n v="434"/>
        <n v="439"/>
        <n v="441"/>
        <n v="443"/>
        <n v="466"/>
        <n v="467"/>
        <n v="491"/>
        <n v="492"/>
        <n v="499"/>
        <n v="505"/>
        <n v="508"/>
        <n v="514"/>
        <n v="520"/>
        <n v="540"/>
        <n v="548"/>
        <n v="559"/>
        <n v="561"/>
        <n v="564"/>
        <n v="566"/>
        <n v="569"/>
        <n v="573"/>
        <n v="576"/>
        <n v="579"/>
        <n v="581"/>
        <n v="582"/>
        <n v="583"/>
        <n v="592"/>
        <n v="599"/>
        <n v="600"/>
        <n v="610"/>
        <n v="614"/>
        <n v="623"/>
        <n v="643"/>
        <n v="651"/>
        <n v="655"/>
        <n v="657"/>
        <n v="665"/>
        <n v="669"/>
        <n v="674"/>
        <n v="677"/>
        <n v="678"/>
        <n v="679"/>
        <n v="685"/>
        <n v="687"/>
        <n v="688"/>
        <n v="690"/>
        <n v="692"/>
        <n v="693"/>
        <n v="699"/>
        <n v="709"/>
        <n v="712"/>
        <n v="713"/>
        <n v="719"/>
        <n v="720"/>
        <n v="721"/>
        <n v="724"/>
        <n v="734"/>
        <n v="735"/>
        <n v="740"/>
        <n v="749"/>
        <n v="752"/>
        <n v="753"/>
        <n v="754"/>
        <n v="761"/>
        <n v="763"/>
        <n v="775"/>
        <n v="777"/>
        <n v="779"/>
        <n v="782"/>
        <n v="786"/>
        <n v="788"/>
        <n v="789"/>
        <n v="793"/>
        <n v="794"/>
        <n v="803"/>
        <n v="810"/>
        <n v="814"/>
        <n v="816"/>
        <n v="818"/>
        <n v="822"/>
        <n v="824"/>
        <n v="825"/>
        <n v="833"/>
        <n v="837"/>
        <n v="838"/>
        <n v="841"/>
        <n v="866"/>
        <n v="868"/>
        <n v="878"/>
        <n v="880"/>
        <n v="884"/>
        <n v="888"/>
        <n v="893"/>
        <n v="899"/>
        <n v="900"/>
        <n v="901"/>
        <n v="907"/>
        <n v="911"/>
        <n v="917"/>
        <n v="918"/>
        <n v="923"/>
        <n v="924"/>
        <n v="934"/>
        <n v="942"/>
        <n v="947"/>
        <n v="950"/>
        <n v="951"/>
        <n v="953"/>
        <n v="954"/>
        <n v="963"/>
        <n v="968"/>
        <n v="972"/>
        <n v="973"/>
        <n v="991"/>
        <n v="993"/>
      </sharedItems>
    </cacheField>
    <cacheField name="Total Sales" numFmtId="0">
      <sharedItems containsSemiMixedTypes="0" containsString="0" containsNumber="1" containsInteger="1" minValue="155" maxValue="9340" count="194">
        <n v="155"/>
        <n v="162"/>
        <n v="195"/>
        <n v="229"/>
        <n v="292"/>
        <n v="302"/>
        <n v="337"/>
        <n v="346"/>
        <n v="398"/>
        <n v="426"/>
        <n v="428"/>
        <n v="456"/>
        <n v="466"/>
        <n v="499"/>
        <n v="520"/>
        <n v="569"/>
        <n v="630"/>
        <n v="679"/>
        <n v="680"/>
        <n v="687"/>
        <n v="693"/>
        <n v="695"/>
        <n v="708"/>
        <n v="765"/>
        <n v="789"/>
        <n v="825"/>
        <n v="835"/>
        <n v="884"/>
        <n v="888"/>
        <n v="920"/>
        <n v="954"/>
        <n v="964"/>
        <n v="982"/>
        <n v="1000"/>
        <n v="1026"/>
        <n v="1032"/>
        <n v="1040"/>
        <n v="1050"/>
        <n v="1068"/>
        <n v="1072"/>
        <n v="1113"/>
        <n v="1116"/>
        <n v="1132"/>
        <n v="1143"/>
        <n v="1152"/>
        <n v="1155"/>
        <n v="1158"/>
        <n v="1162"/>
        <n v="1175"/>
        <n v="1182"/>
        <n v="1184"/>
        <n v="1197"/>
        <n v="1210"/>
        <n v="1224"/>
        <n v="1320"/>
        <n v="1330"/>
        <n v="1332"/>
        <n v="1365"/>
        <n v="1400"/>
        <n v="1418"/>
        <n v="1424"/>
        <n v="1480"/>
        <n v="1498"/>
        <n v="1516"/>
        <n v="1524"/>
        <n v="1533"/>
        <n v="1644"/>
        <n v="1660"/>
        <n v="1692"/>
        <n v="1698"/>
        <n v="1797"/>
        <n v="1798"/>
        <n v="1830"/>
        <n v="1888"/>
        <n v="1902"/>
        <n v="1906"/>
        <n v="1932"/>
        <n v="1936"/>
        <n v="1944"/>
        <n v="1953"/>
        <n v="1968"/>
        <n v="1982"/>
        <n v="2007"/>
        <n v="2056"/>
        <n v="2097"/>
        <n v="2115"/>
        <n v="2148"/>
        <n v="2160"/>
        <n v="2215"/>
        <n v="2256"/>
        <n v="2288"/>
        <n v="2304"/>
        <n v="2310"/>
        <n v="2328"/>
        <n v="2331"/>
        <n v="2335"/>
        <n v="2430"/>
        <n v="2442"/>
        <n v="2443"/>
        <n v="2472"/>
        <n v="2492"/>
        <n v="2525"/>
        <n v="2540"/>
        <n v="2560"/>
        <n v="2688"/>
        <n v="2721"/>
        <n v="2733"/>
        <n v="2740"/>
        <n v="2768"/>
        <n v="2769"/>
        <n v="2852"/>
        <n v="2884"/>
        <n v="2920"/>
        <n v="2934"/>
        <n v="2940"/>
        <n v="3016"/>
        <n v="3052"/>
        <n v="3087"/>
        <n v="3128"/>
        <n v="3144"/>
        <n v="3160"/>
        <n v="3212"/>
        <n v="3332"/>
        <n v="3348"/>
        <n v="3357"/>
        <n v="3411"/>
        <n v="3450"/>
        <n v="3472"/>
        <n v="3600"/>
        <n v="3654"/>
        <n v="3700"/>
        <n v="3744"/>
        <n v="3770"/>
        <n v="3800"/>
        <n v="3927"/>
        <n v="3930"/>
        <n v="3942"/>
        <n v="3951"/>
        <n v="3965"/>
        <n v="3970"/>
        <n v="3990"/>
        <n v="4040"/>
        <n v="4080"/>
        <n v="4128"/>
        <n v="4190"/>
        <n v="4472"/>
        <n v="4585"/>
        <n v="4664"/>
        <n v="4716"/>
        <n v="4718"/>
        <n v="4728"/>
        <n v="4736"/>
        <n v="4753"/>
        <n v="4912"/>
        <n v="5040"/>
        <n v="5138"/>
        <n v="5157"/>
        <n v="5280"/>
        <n v="5406"/>
        <n v="5439"/>
        <n v="5682"/>
        <n v="5778"/>
        <n v="5787"/>
        <n v="5790"/>
        <n v="5859"/>
        <n v="5887"/>
        <n v="5920"/>
        <n v="6024"/>
        <n v="6088"/>
        <n v="6216"/>
        <n v="6471"/>
        <n v="6576"/>
        <n v="6592"/>
        <n v="6594"/>
        <n v="6770"/>
        <n v="6780"/>
        <n v="6811"/>
        <n v="6993"/>
        <n v="7011"/>
        <n v="7200"/>
        <n v="7240"/>
        <n v="7350"/>
        <n v="7542"/>
        <n v="7750"/>
        <n v="7812"/>
        <n v="7944"/>
        <n v="7956"/>
        <n v="8037"/>
        <n v="8180"/>
        <n v="8660"/>
        <n v="8780"/>
        <n v="9180"/>
        <n v="9240"/>
        <n v="9340"/>
      </sharedItems>
    </cacheField>
    <cacheField name="Target" numFmtId="0">
      <sharedItems containsSemiMixedTypes="0" containsString="0" containsNumber="1" containsInteger="1" minValue="1000" maxValue="2500" count="4">
        <n v="1000"/>
        <n v="1500"/>
        <n v="2000"/>
        <n v="2500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Quarter" numFmtId="0">
      <sharedItems count="5">
        <s v="2023Q1"/>
        <s v="2023Q2"/>
        <s v="2023Q3"/>
        <s v="2023Q4"/>
        <s v="2024Q1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2"/>
    <x v="7"/>
    <x v="46"/>
    <x v="3"/>
    <x v="31"/>
    <x v="2"/>
    <x v="0"/>
    <x v="0"/>
    <x v="1"/>
    <x v="8"/>
  </r>
  <r>
    <x v="1"/>
    <x v="3"/>
    <x v="0"/>
    <x v="2"/>
    <x v="3"/>
    <x v="0"/>
    <x v="20"/>
    <x v="2"/>
    <x v="1"/>
    <x v="0"/>
    <x v="0"/>
    <x v="4"/>
  </r>
  <r>
    <x v="2"/>
    <x v="1"/>
    <x v="4"/>
    <x v="13"/>
    <x v="124"/>
    <x v="3"/>
    <x v="151"/>
    <x v="122"/>
    <x v="3"/>
    <x v="0"/>
    <x v="3"/>
    <x v="10"/>
  </r>
  <r>
    <x v="3"/>
    <x v="0"/>
    <x v="4"/>
    <x v="14"/>
    <x v="0"/>
    <x v="2"/>
    <x v="145"/>
    <x v="97"/>
    <x v="3"/>
    <x v="0"/>
    <x v="0"/>
    <x v="4"/>
  </r>
  <r>
    <x v="4"/>
    <x v="2"/>
    <x v="1"/>
    <x v="9"/>
    <x v="37"/>
    <x v="5"/>
    <x v="22"/>
    <x v="53"/>
    <x v="0"/>
    <x v="0"/>
    <x v="1"/>
    <x v="0"/>
  </r>
  <r>
    <x v="5"/>
    <x v="0"/>
    <x v="3"/>
    <x v="0"/>
    <x v="74"/>
    <x v="9"/>
    <x v="51"/>
    <x v="130"/>
    <x v="0"/>
    <x v="0"/>
    <x v="1"/>
    <x v="6"/>
  </r>
  <r>
    <x v="6"/>
    <x v="1"/>
    <x v="3"/>
    <x v="3"/>
    <x v="81"/>
    <x v="1"/>
    <x v="105"/>
    <x v="55"/>
    <x v="2"/>
    <x v="0"/>
    <x v="2"/>
    <x v="5"/>
  </r>
  <r>
    <x v="7"/>
    <x v="2"/>
    <x v="0"/>
    <x v="10"/>
    <x v="161"/>
    <x v="1"/>
    <x v="7"/>
    <x v="4"/>
    <x v="1"/>
    <x v="0"/>
    <x v="3"/>
    <x v="2"/>
  </r>
  <r>
    <x v="8"/>
    <x v="2"/>
    <x v="1"/>
    <x v="11"/>
    <x v="16"/>
    <x v="6"/>
    <x v="58"/>
    <x v="104"/>
    <x v="3"/>
    <x v="0"/>
    <x v="0"/>
    <x v="3"/>
  </r>
  <r>
    <x v="9"/>
    <x v="0"/>
    <x v="1"/>
    <x v="11"/>
    <x v="77"/>
    <x v="3"/>
    <x v="138"/>
    <x v="119"/>
    <x v="2"/>
    <x v="0"/>
    <x v="2"/>
    <x v="5"/>
  </r>
  <r>
    <x v="10"/>
    <x v="2"/>
    <x v="2"/>
    <x v="4"/>
    <x v="117"/>
    <x v="3"/>
    <x v="36"/>
    <x v="38"/>
    <x v="3"/>
    <x v="0"/>
    <x v="3"/>
    <x v="10"/>
  </r>
  <r>
    <x v="11"/>
    <x v="2"/>
    <x v="3"/>
    <x v="8"/>
    <x v="155"/>
    <x v="5"/>
    <x v="178"/>
    <x v="161"/>
    <x v="0"/>
    <x v="0"/>
    <x v="3"/>
    <x v="2"/>
  </r>
  <r>
    <x v="12"/>
    <x v="0"/>
    <x v="4"/>
    <x v="1"/>
    <x v="88"/>
    <x v="4"/>
    <x v="13"/>
    <x v="26"/>
    <x v="1"/>
    <x v="0"/>
    <x v="2"/>
    <x v="5"/>
  </r>
  <r>
    <x v="13"/>
    <x v="0"/>
    <x v="0"/>
    <x v="5"/>
    <x v="35"/>
    <x v="7"/>
    <x v="78"/>
    <x v="141"/>
    <x v="3"/>
    <x v="0"/>
    <x v="1"/>
    <x v="0"/>
  </r>
  <r>
    <x v="14"/>
    <x v="2"/>
    <x v="4"/>
    <x v="14"/>
    <x v="47"/>
    <x v="8"/>
    <x v="102"/>
    <x v="164"/>
    <x v="2"/>
    <x v="0"/>
    <x v="1"/>
    <x v="8"/>
  </r>
  <r>
    <x v="15"/>
    <x v="3"/>
    <x v="0"/>
    <x v="10"/>
    <x v="78"/>
    <x v="3"/>
    <x v="30"/>
    <x v="31"/>
    <x v="3"/>
    <x v="0"/>
    <x v="2"/>
    <x v="5"/>
  </r>
  <r>
    <x v="16"/>
    <x v="1"/>
    <x v="2"/>
    <x v="7"/>
    <x v="25"/>
    <x v="2"/>
    <x v="166"/>
    <x v="106"/>
    <x v="3"/>
    <x v="0"/>
    <x v="0"/>
    <x v="7"/>
  </r>
  <r>
    <x v="17"/>
    <x v="3"/>
    <x v="0"/>
    <x v="2"/>
    <x v="83"/>
    <x v="9"/>
    <x v="91"/>
    <x v="163"/>
    <x v="2"/>
    <x v="0"/>
    <x v="2"/>
    <x v="5"/>
  </r>
  <r>
    <x v="18"/>
    <x v="1"/>
    <x v="0"/>
    <x v="2"/>
    <x v="154"/>
    <x v="8"/>
    <x v="156"/>
    <x v="184"/>
    <x v="2"/>
    <x v="0"/>
    <x v="3"/>
    <x v="2"/>
  </r>
  <r>
    <x v="19"/>
    <x v="0"/>
    <x v="1"/>
    <x v="11"/>
    <x v="96"/>
    <x v="2"/>
    <x v="86"/>
    <x v="68"/>
    <x v="0"/>
    <x v="0"/>
    <x v="2"/>
    <x v="1"/>
  </r>
  <r>
    <x v="20"/>
    <x v="2"/>
    <x v="1"/>
    <x v="6"/>
    <x v="112"/>
    <x v="1"/>
    <x v="182"/>
    <x v="81"/>
    <x v="2"/>
    <x v="0"/>
    <x v="2"/>
    <x v="11"/>
  </r>
  <r>
    <x v="21"/>
    <x v="2"/>
    <x v="0"/>
    <x v="5"/>
    <x v="25"/>
    <x v="5"/>
    <x v="158"/>
    <x v="157"/>
    <x v="1"/>
    <x v="0"/>
    <x v="0"/>
    <x v="7"/>
  </r>
  <r>
    <x v="22"/>
    <x v="1"/>
    <x v="0"/>
    <x v="5"/>
    <x v="133"/>
    <x v="5"/>
    <x v="97"/>
    <x v="128"/>
    <x v="0"/>
    <x v="0"/>
    <x v="3"/>
    <x v="9"/>
  </r>
  <r>
    <x v="23"/>
    <x v="0"/>
    <x v="2"/>
    <x v="12"/>
    <x v="45"/>
    <x v="0"/>
    <x v="47"/>
    <x v="7"/>
    <x v="0"/>
    <x v="0"/>
    <x v="1"/>
    <x v="8"/>
  </r>
  <r>
    <x v="24"/>
    <x v="3"/>
    <x v="2"/>
    <x v="4"/>
    <x v="9"/>
    <x v="8"/>
    <x v="159"/>
    <x v="186"/>
    <x v="1"/>
    <x v="0"/>
    <x v="0"/>
    <x v="3"/>
  </r>
  <r>
    <x v="25"/>
    <x v="3"/>
    <x v="4"/>
    <x v="13"/>
    <x v="120"/>
    <x v="2"/>
    <x v="52"/>
    <x v="40"/>
    <x v="3"/>
    <x v="0"/>
    <x v="3"/>
    <x v="10"/>
  </r>
  <r>
    <x v="26"/>
    <x v="2"/>
    <x v="4"/>
    <x v="13"/>
    <x v="162"/>
    <x v="4"/>
    <x v="79"/>
    <x v="102"/>
    <x v="2"/>
    <x v="1"/>
    <x v="4"/>
    <x v="4"/>
  </r>
  <r>
    <x v="27"/>
    <x v="3"/>
    <x v="3"/>
    <x v="3"/>
    <x v="20"/>
    <x v="3"/>
    <x v="43"/>
    <x v="54"/>
    <x v="0"/>
    <x v="0"/>
    <x v="0"/>
    <x v="7"/>
  </r>
  <r>
    <x v="28"/>
    <x v="2"/>
    <x v="1"/>
    <x v="11"/>
    <x v="132"/>
    <x v="3"/>
    <x v="0"/>
    <x v="10"/>
    <x v="0"/>
    <x v="0"/>
    <x v="3"/>
    <x v="10"/>
  </r>
  <r>
    <x v="29"/>
    <x v="1"/>
    <x v="2"/>
    <x v="7"/>
    <x v="3"/>
    <x v="5"/>
    <x v="16"/>
    <x v="35"/>
    <x v="1"/>
    <x v="0"/>
    <x v="0"/>
    <x v="4"/>
  </r>
  <r>
    <x v="30"/>
    <x v="3"/>
    <x v="1"/>
    <x v="6"/>
    <x v="36"/>
    <x v="8"/>
    <x v="28"/>
    <x v="85"/>
    <x v="3"/>
    <x v="0"/>
    <x v="1"/>
    <x v="0"/>
  </r>
  <r>
    <x v="31"/>
    <x v="3"/>
    <x v="4"/>
    <x v="14"/>
    <x v="30"/>
    <x v="1"/>
    <x v="21"/>
    <x v="8"/>
    <x v="3"/>
    <x v="0"/>
    <x v="1"/>
    <x v="0"/>
  </r>
  <r>
    <x v="32"/>
    <x v="3"/>
    <x v="1"/>
    <x v="9"/>
    <x v="105"/>
    <x v="0"/>
    <x v="140"/>
    <x v="24"/>
    <x v="0"/>
    <x v="0"/>
    <x v="2"/>
    <x v="1"/>
  </r>
  <r>
    <x v="33"/>
    <x v="0"/>
    <x v="2"/>
    <x v="12"/>
    <x v="19"/>
    <x v="3"/>
    <x v="40"/>
    <x v="50"/>
    <x v="1"/>
    <x v="0"/>
    <x v="0"/>
    <x v="3"/>
  </r>
  <r>
    <x v="34"/>
    <x v="2"/>
    <x v="0"/>
    <x v="10"/>
    <x v="94"/>
    <x v="2"/>
    <x v="59"/>
    <x v="45"/>
    <x v="3"/>
    <x v="0"/>
    <x v="2"/>
    <x v="1"/>
  </r>
  <r>
    <x v="35"/>
    <x v="3"/>
    <x v="4"/>
    <x v="1"/>
    <x v="120"/>
    <x v="1"/>
    <x v="8"/>
    <x v="5"/>
    <x v="0"/>
    <x v="0"/>
    <x v="3"/>
    <x v="10"/>
  </r>
  <r>
    <x v="36"/>
    <x v="2"/>
    <x v="2"/>
    <x v="7"/>
    <x v="89"/>
    <x v="7"/>
    <x v="95"/>
    <x v="151"/>
    <x v="1"/>
    <x v="0"/>
    <x v="2"/>
    <x v="5"/>
  </r>
  <r>
    <x v="37"/>
    <x v="2"/>
    <x v="3"/>
    <x v="0"/>
    <x v="82"/>
    <x v="0"/>
    <x v="77"/>
    <x v="13"/>
    <x v="2"/>
    <x v="0"/>
    <x v="2"/>
    <x v="5"/>
  </r>
  <r>
    <x v="38"/>
    <x v="3"/>
    <x v="3"/>
    <x v="8"/>
    <x v="158"/>
    <x v="8"/>
    <x v="135"/>
    <x v="177"/>
    <x v="3"/>
    <x v="0"/>
    <x v="3"/>
    <x v="2"/>
  </r>
  <r>
    <x v="39"/>
    <x v="0"/>
    <x v="4"/>
    <x v="1"/>
    <x v="38"/>
    <x v="0"/>
    <x v="116"/>
    <x v="20"/>
    <x v="0"/>
    <x v="0"/>
    <x v="1"/>
    <x v="0"/>
  </r>
  <r>
    <x v="40"/>
    <x v="1"/>
    <x v="1"/>
    <x v="11"/>
    <x v="130"/>
    <x v="7"/>
    <x v="99"/>
    <x v="153"/>
    <x v="1"/>
    <x v="0"/>
    <x v="3"/>
    <x v="10"/>
  </r>
  <r>
    <x v="41"/>
    <x v="1"/>
    <x v="2"/>
    <x v="4"/>
    <x v="29"/>
    <x v="1"/>
    <x v="118"/>
    <x v="59"/>
    <x v="0"/>
    <x v="0"/>
    <x v="1"/>
    <x v="0"/>
  </r>
  <r>
    <x v="42"/>
    <x v="1"/>
    <x v="4"/>
    <x v="14"/>
    <x v="127"/>
    <x v="3"/>
    <x v="115"/>
    <x v="108"/>
    <x v="0"/>
    <x v="0"/>
    <x v="3"/>
    <x v="10"/>
  </r>
  <r>
    <x v="43"/>
    <x v="3"/>
    <x v="0"/>
    <x v="2"/>
    <x v="148"/>
    <x v="9"/>
    <x v="109"/>
    <x v="175"/>
    <x v="2"/>
    <x v="0"/>
    <x v="3"/>
    <x v="2"/>
  </r>
  <r>
    <x v="44"/>
    <x v="0"/>
    <x v="1"/>
    <x v="11"/>
    <x v="45"/>
    <x v="4"/>
    <x v="78"/>
    <x v="101"/>
    <x v="1"/>
    <x v="0"/>
    <x v="1"/>
    <x v="8"/>
  </r>
  <r>
    <x v="45"/>
    <x v="0"/>
    <x v="1"/>
    <x v="9"/>
    <x v="11"/>
    <x v="0"/>
    <x v="88"/>
    <x v="15"/>
    <x v="0"/>
    <x v="0"/>
    <x v="0"/>
    <x v="3"/>
  </r>
  <r>
    <x v="46"/>
    <x v="2"/>
    <x v="2"/>
    <x v="4"/>
    <x v="112"/>
    <x v="4"/>
    <x v="28"/>
    <x v="48"/>
    <x v="2"/>
    <x v="0"/>
    <x v="2"/>
    <x v="11"/>
  </r>
  <r>
    <x v="47"/>
    <x v="0"/>
    <x v="2"/>
    <x v="7"/>
    <x v="54"/>
    <x v="2"/>
    <x v="83"/>
    <x v="66"/>
    <x v="2"/>
    <x v="0"/>
    <x v="1"/>
    <x v="8"/>
  </r>
  <r>
    <x v="48"/>
    <x v="1"/>
    <x v="0"/>
    <x v="5"/>
    <x v="149"/>
    <x v="8"/>
    <x v="63"/>
    <x v="129"/>
    <x v="0"/>
    <x v="0"/>
    <x v="3"/>
    <x v="2"/>
  </r>
  <r>
    <x v="49"/>
    <x v="1"/>
    <x v="4"/>
    <x v="14"/>
    <x v="18"/>
    <x v="8"/>
    <x v="34"/>
    <x v="94"/>
    <x v="2"/>
    <x v="0"/>
    <x v="0"/>
    <x v="3"/>
  </r>
  <r>
    <x v="50"/>
    <x v="2"/>
    <x v="1"/>
    <x v="6"/>
    <x v="73"/>
    <x v="3"/>
    <x v="143"/>
    <x v="121"/>
    <x v="2"/>
    <x v="0"/>
    <x v="1"/>
    <x v="6"/>
  </r>
  <r>
    <x v="51"/>
    <x v="0"/>
    <x v="0"/>
    <x v="10"/>
    <x v="4"/>
    <x v="1"/>
    <x v="128"/>
    <x v="62"/>
    <x v="3"/>
    <x v="0"/>
    <x v="0"/>
    <x v="4"/>
  </r>
  <r>
    <x v="52"/>
    <x v="1"/>
    <x v="1"/>
    <x v="11"/>
    <x v="69"/>
    <x v="2"/>
    <x v="129"/>
    <x v="89"/>
    <x v="2"/>
    <x v="0"/>
    <x v="1"/>
    <x v="6"/>
  </r>
  <r>
    <x v="53"/>
    <x v="3"/>
    <x v="4"/>
    <x v="13"/>
    <x v="121"/>
    <x v="6"/>
    <x v="107"/>
    <x v="149"/>
    <x v="0"/>
    <x v="0"/>
    <x v="3"/>
    <x v="10"/>
  </r>
  <r>
    <x v="54"/>
    <x v="2"/>
    <x v="2"/>
    <x v="7"/>
    <x v="119"/>
    <x v="0"/>
    <x v="177"/>
    <x v="30"/>
    <x v="2"/>
    <x v="0"/>
    <x v="3"/>
    <x v="10"/>
  </r>
  <r>
    <x v="55"/>
    <x v="2"/>
    <x v="0"/>
    <x v="5"/>
    <x v="95"/>
    <x v="2"/>
    <x v="6"/>
    <x v="9"/>
    <x v="2"/>
    <x v="0"/>
    <x v="2"/>
    <x v="1"/>
  </r>
  <r>
    <x v="56"/>
    <x v="0"/>
    <x v="1"/>
    <x v="11"/>
    <x v="34"/>
    <x v="3"/>
    <x v="137"/>
    <x v="118"/>
    <x v="0"/>
    <x v="0"/>
    <x v="1"/>
    <x v="0"/>
  </r>
  <r>
    <x v="57"/>
    <x v="3"/>
    <x v="1"/>
    <x v="6"/>
    <x v="137"/>
    <x v="2"/>
    <x v="46"/>
    <x v="34"/>
    <x v="1"/>
    <x v="0"/>
    <x v="3"/>
    <x v="9"/>
  </r>
  <r>
    <x v="58"/>
    <x v="1"/>
    <x v="4"/>
    <x v="14"/>
    <x v="28"/>
    <x v="5"/>
    <x v="164"/>
    <x v="158"/>
    <x v="3"/>
    <x v="0"/>
    <x v="1"/>
    <x v="0"/>
  </r>
  <r>
    <x v="59"/>
    <x v="2"/>
    <x v="4"/>
    <x v="14"/>
    <x v="160"/>
    <x v="1"/>
    <x v="75"/>
    <x v="32"/>
    <x v="0"/>
    <x v="0"/>
    <x v="3"/>
    <x v="2"/>
  </r>
  <r>
    <x v="60"/>
    <x v="2"/>
    <x v="3"/>
    <x v="0"/>
    <x v="102"/>
    <x v="5"/>
    <x v="65"/>
    <x v="99"/>
    <x v="1"/>
    <x v="0"/>
    <x v="2"/>
    <x v="1"/>
  </r>
  <r>
    <x v="61"/>
    <x v="2"/>
    <x v="4"/>
    <x v="1"/>
    <x v="87"/>
    <x v="5"/>
    <x v="59"/>
    <x v="92"/>
    <x v="0"/>
    <x v="0"/>
    <x v="2"/>
    <x v="5"/>
  </r>
  <r>
    <x v="62"/>
    <x v="3"/>
    <x v="1"/>
    <x v="9"/>
    <x v="153"/>
    <x v="8"/>
    <x v="70"/>
    <x v="137"/>
    <x v="0"/>
    <x v="0"/>
    <x v="3"/>
    <x v="2"/>
  </r>
  <r>
    <x v="63"/>
    <x v="2"/>
    <x v="2"/>
    <x v="12"/>
    <x v="129"/>
    <x v="4"/>
    <x v="5"/>
    <x v="21"/>
    <x v="0"/>
    <x v="0"/>
    <x v="3"/>
    <x v="10"/>
  </r>
  <r>
    <x v="64"/>
    <x v="0"/>
    <x v="0"/>
    <x v="10"/>
    <x v="63"/>
    <x v="6"/>
    <x v="122"/>
    <x v="154"/>
    <x v="0"/>
    <x v="0"/>
    <x v="1"/>
    <x v="6"/>
  </r>
  <r>
    <x v="65"/>
    <x v="2"/>
    <x v="3"/>
    <x v="3"/>
    <x v="49"/>
    <x v="0"/>
    <x v="150"/>
    <x v="25"/>
    <x v="3"/>
    <x v="0"/>
    <x v="1"/>
    <x v="8"/>
  </r>
  <r>
    <x v="66"/>
    <x v="2"/>
    <x v="2"/>
    <x v="4"/>
    <x v="79"/>
    <x v="6"/>
    <x v="15"/>
    <x v="51"/>
    <x v="2"/>
    <x v="0"/>
    <x v="2"/>
    <x v="5"/>
  </r>
  <r>
    <x v="67"/>
    <x v="1"/>
    <x v="0"/>
    <x v="10"/>
    <x v="59"/>
    <x v="8"/>
    <x v="66"/>
    <x v="131"/>
    <x v="3"/>
    <x v="0"/>
    <x v="1"/>
    <x v="6"/>
  </r>
  <r>
    <x v="68"/>
    <x v="0"/>
    <x v="1"/>
    <x v="9"/>
    <x v="122"/>
    <x v="2"/>
    <x v="40"/>
    <x v="28"/>
    <x v="3"/>
    <x v="0"/>
    <x v="3"/>
    <x v="10"/>
  </r>
  <r>
    <x v="69"/>
    <x v="2"/>
    <x v="3"/>
    <x v="3"/>
    <x v="136"/>
    <x v="9"/>
    <x v="64"/>
    <x v="142"/>
    <x v="3"/>
    <x v="0"/>
    <x v="3"/>
    <x v="9"/>
  </r>
  <r>
    <x v="70"/>
    <x v="0"/>
    <x v="0"/>
    <x v="2"/>
    <x v="55"/>
    <x v="3"/>
    <x v="82"/>
    <x v="87"/>
    <x v="2"/>
    <x v="0"/>
    <x v="1"/>
    <x v="8"/>
  </r>
  <r>
    <x v="71"/>
    <x v="3"/>
    <x v="3"/>
    <x v="8"/>
    <x v="152"/>
    <x v="3"/>
    <x v="100"/>
    <x v="100"/>
    <x v="3"/>
    <x v="0"/>
    <x v="3"/>
    <x v="2"/>
  </r>
  <r>
    <x v="72"/>
    <x v="1"/>
    <x v="4"/>
    <x v="13"/>
    <x v="54"/>
    <x v="8"/>
    <x v="136"/>
    <x v="178"/>
    <x v="2"/>
    <x v="0"/>
    <x v="1"/>
    <x v="8"/>
  </r>
  <r>
    <x v="73"/>
    <x v="0"/>
    <x v="2"/>
    <x v="7"/>
    <x v="41"/>
    <x v="3"/>
    <x v="32"/>
    <x v="33"/>
    <x v="0"/>
    <x v="0"/>
    <x v="1"/>
    <x v="0"/>
  </r>
  <r>
    <x v="74"/>
    <x v="3"/>
    <x v="2"/>
    <x v="7"/>
    <x v="135"/>
    <x v="1"/>
    <x v="87"/>
    <x v="42"/>
    <x v="3"/>
    <x v="0"/>
    <x v="3"/>
    <x v="9"/>
  </r>
  <r>
    <x v="75"/>
    <x v="3"/>
    <x v="0"/>
    <x v="2"/>
    <x v="111"/>
    <x v="6"/>
    <x v="48"/>
    <x v="98"/>
    <x v="1"/>
    <x v="0"/>
    <x v="2"/>
    <x v="11"/>
  </r>
  <r>
    <x v="76"/>
    <x v="3"/>
    <x v="2"/>
    <x v="7"/>
    <x v="39"/>
    <x v="2"/>
    <x v="169"/>
    <x v="109"/>
    <x v="3"/>
    <x v="0"/>
    <x v="1"/>
    <x v="0"/>
  </r>
  <r>
    <x v="77"/>
    <x v="2"/>
    <x v="2"/>
    <x v="4"/>
    <x v="21"/>
    <x v="7"/>
    <x v="29"/>
    <x v="73"/>
    <x v="3"/>
    <x v="0"/>
    <x v="0"/>
    <x v="7"/>
  </r>
  <r>
    <x v="78"/>
    <x v="0"/>
    <x v="0"/>
    <x v="5"/>
    <x v="98"/>
    <x v="9"/>
    <x v="171"/>
    <x v="193"/>
    <x v="3"/>
    <x v="0"/>
    <x v="2"/>
    <x v="1"/>
  </r>
  <r>
    <x v="79"/>
    <x v="2"/>
    <x v="0"/>
    <x v="10"/>
    <x v="107"/>
    <x v="7"/>
    <x v="50"/>
    <x v="112"/>
    <x v="1"/>
    <x v="0"/>
    <x v="2"/>
    <x v="11"/>
  </r>
  <r>
    <x v="80"/>
    <x v="3"/>
    <x v="1"/>
    <x v="6"/>
    <x v="139"/>
    <x v="3"/>
    <x v="57"/>
    <x v="64"/>
    <x v="3"/>
    <x v="0"/>
    <x v="3"/>
    <x v="9"/>
  </r>
  <r>
    <x v="81"/>
    <x v="0"/>
    <x v="2"/>
    <x v="4"/>
    <x v="44"/>
    <x v="4"/>
    <x v="72"/>
    <x v="88"/>
    <x v="2"/>
    <x v="0"/>
    <x v="1"/>
    <x v="8"/>
  </r>
  <r>
    <x v="82"/>
    <x v="2"/>
    <x v="0"/>
    <x v="2"/>
    <x v="24"/>
    <x v="3"/>
    <x v="76"/>
    <x v="80"/>
    <x v="1"/>
    <x v="0"/>
    <x v="0"/>
    <x v="7"/>
  </r>
  <r>
    <x v="83"/>
    <x v="3"/>
    <x v="4"/>
    <x v="1"/>
    <x v="89"/>
    <x v="5"/>
    <x v="103"/>
    <x v="135"/>
    <x v="3"/>
    <x v="0"/>
    <x v="2"/>
    <x v="5"/>
  </r>
  <r>
    <x v="84"/>
    <x v="2"/>
    <x v="3"/>
    <x v="0"/>
    <x v="93"/>
    <x v="6"/>
    <x v="160"/>
    <x v="169"/>
    <x v="0"/>
    <x v="0"/>
    <x v="2"/>
    <x v="1"/>
  </r>
  <r>
    <x v="85"/>
    <x v="3"/>
    <x v="0"/>
    <x v="10"/>
    <x v="0"/>
    <x v="5"/>
    <x v="62"/>
    <x v="96"/>
    <x v="3"/>
    <x v="0"/>
    <x v="0"/>
    <x v="4"/>
  </r>
  <r>
    <x v="86"/>
    <x v="2"/>
    <x v="3"/>
    <x v="3"/>
    <x v="108"/>
    <x v="3"/>
    <x v="56"/>
    <x v="63"/>
    <x v="3"/>
    <x v="0"/>
    <x v="2"/>
    <x v="11"/>
  </r>
  <r>
    <x v="87"/>
    <x v="3"/>
    <x v="3"/>
    <x v="0"/>
    <x v="70"/>
    <x v="6"/>
    <x v="154"/>
    <x v="165"/>
    <x v="1"/>
    <x v="0"/>
    <x v="1"/>
    <x v="6"/>
  </r>
  <r>
    <x v="88"/>
    <x v="1"/>
    <x v="3"/>
    <x v="0"/>
    <x v="85"/>
    <x v="9"/>
    <x v="108"/>
    <x v="174"/>
    <x v="0"/>
    <x v="0"/>
    <x v="2"/>
    <x v="5"/>
  </r>
  <r>
    <x v="89"/>
    <x v="3"/>
    <x v="2"/>
    <x v="4"/>
    <x v="23"/>
    <x v="7"/>
    <x v="39"/>
    <x v="90"/>
    <x v="0"/>
    <x v="0"/>
    <x v="0"/>
    <x v="7"/>
  </r>
  <r>
    <x v="90"/>
    <x v="0"/>
    <x v="1"/>
    <x v="9"/>
    <x v="35"/>
    <x v="7"/>
    <x v="69"/>
    <x v="127"/>
    <x v="2"/>
    <x v="0"/>
    <x v="1"/>
    <x v="0"/>
  </r>
  <r>
    <x v="91"/>
    <x v="3"/>
    <x v="3"/>
    <x v="8"/>
    <x v="48"/>
    <x v="1"/>
    <x v="92"/>
    <x v="47"/>
    <x v="0"/>
    <x v="0"/>
    <x v="1"/>
    <x v="8"/>
  </r>
  <r>
    <x v="92"/>
    <x v="0"/>
    <x v="0"/>
    <x v="2"/>
    <x v="40"/>
    <x v="1"/>
    <x v="162"/>
    <x v="71"/>
    <x v="0"/>
    <x v="0"/>
    <x v="1"/>
    <x v="0"/>
  </r>
  <r>
    <x v="93"/>
    <x v="2"/>
    <x v="2"/>
    <x v="7"/>
    <x v="2"/>
    <x v="9"/>
    <x v="33"/>
    <x v="103"/>
    <x v="1"/>
    <x v="0"/>
    <x v="0"/>
    <x v="4"/>
  </r>
  <r>
    <x v="94"/>
    <x v="1"/>
    <x v="4"/>
    <x v="14"/>
    <x v="125"/>
    <x v="3"/>
    <x v="90"/>
    <x v="91"/>
    <x v="2"/>
    <x v="0"/>
    <x v="3"/>
    <x v="10"/>
  </r>
  <r>
    <x v="95"/>
    <x v="1"/>
    <x v="1"/>
    <x v="11"/>
    <x v="26"/>
    <x v="4"/>
    <x v="23"/>
    <x v="37"/>
    <x v="0"/>
    <x v="0"/>
    <x v="0"/>
    <x v="7"/>
  </r>
  <r>
    <x v="96"/>
    <x v="3"/>
    <x v="1"/>
    <x v="6"/>
    <x v="86"/>
    <x v="3"/>
    <x v="18"/>
    <x v="22"/>
    <x v="1"/>
    <x v="0"/>
    <x v="2"/>
    <x v="5"/>
  </r>
  <r>
    <x v="97"/>
    <x v="0"/>
    <x v="2"/>
    <x v="4"/>
    <x v="155"/>
    <x v="9"/>
    <x v="170"/>
    <x v="192"/>
    <x v="0"/>
    <x v="0"/>
    <x v="3"/>
    <x v="2"/>
  </r>
  <r>
    <x v="98"/>
    <x v="0"/>
    <x v="0"/>
    <x v="2"/>
    <x v="116"/>
    <x v="6"/>
    <x v="135"/>
    <x v="159"/>
    <x v="2"/>
    <x v="0"/>
    <x v="2"/>
    <x v="11"/>
  </r>
  <r>
    <x v="99"/>
    <x v="0"/>
    <x v="2"/>
    <x v="4"/>
    <x v="1"/>
    <x v="6"/>
    <x v="172"/>
    <x v="173"/>
    <x v="3"/>
    <x v="0"/>
    <x v="0"/>
    <x v="4"/>
  </r>
  <r>
    <x v="100"/>
    <x v="0"/>
    <x v="2"/>
    <x v="12"/>
    <x v="142"/>
    <x v="7"/>
    <x v="149"/>
    <x v="172"/>
    <x v="1"/>
    <x v="0"/>
    <x v="3"/>
    <x v="9"/>
  </r>
  <r>
    <x v="101"/>
    <x v="0"/>
    <x v="3"/>
    <x v="0"/>
    <x v="136"/>
    <x v="8"/>
    <x v="161"/>
    <x v="187"/>
    <x v="3"/>
    <x v="0"/>
    <x v="3"/>
    <x v="9"/>
  </r>
  <r>
    <x v="102"/>
    <x v="0"/>
    <x v="3"/>
    <x v="8"/>
    <x v="65"/>
    <x v="3"/>
    <x v="174"/>
    <x v="133"/>
    <x v="0"/>
    <x v="0"/>
    <x v="1"/>
    <x v="6"/>
  </r>
  <r>
    <x v="103"/>
    <x v="2"/>
    <x v="1"/>
    <x v="9"/>
    <x v="103"/>
    <x v="9"/>
    <x v="124"/>
    <x v="180"/>
    <x v="3"/>
    <x v="0"/>
    <x v="2"/>
    <x v="1"/>
  </r>
  <r>
    <x v="104"/>
    <x v="3"/>
    <x v="1"/>
    <x v="11"/>
    <x v="66"/>
    <x v="2"/>
    <x v="96"/>
    <x v="70"/>
    <x v="1"/>
    <x v="0"/>
    <x v="1"/>
    <x v="6"/>
  </r>
  <r>
    <x v="105"/>
    <x v="0"/>
    <x v="1"/>
    <x v="9"/>
    <x v="53"/>
    <x v="9"/>
    <x v="147"/>
    <x v="188"/>
    <x v="2"/>
    <x v="0"/>
    <x v="1"/>
    <x v="8"/>
  </r>
  <r>
    <x v="106"/>
    <x v="2"/>
    <x v="0"/>
    <x v="2"/>
    <x v="13"/>
    <x v="3"/>
    <x v="152"/>
    <x v="123"/>
    <x v="3"/>
    <x v="0"/>
    <x v="0"/>
    <x v="3"/>
  </r>
  <r>
    <x v="107"/>
    <x v="2"/>
    <x v="3"/>
    <x v="3"/>
    <x v="157"/>
    <x v="7"/>
    <x v="132"/>
    <x v="168"/>
    <x v="3"/>
    <x v="0"/>
    <x v="3"/>
    <x v="2"/>
  </r>
  <r>
    <x v="108"/>
    <x v="1"/>
    <x v="3"/>
    <x v="0"/>
    <x v="58"/>
    <x v="3"/>
    <x v="80"/>
    <x v="83"/>
    <x v="1"/>
    <x v="0"/>
    <x v="1"/>
    <x v="8"/>
  </r>
  <r>
    <x v="109"/>
    <x v="0"/>
    <x v="1"/>
    <x v="6"/>
    <x v="106"/>
    <x v="8"/>
    <x v="101"/>
    <x v="162"/>
    <x v="2"/>
    <x v="0"/>
    <x v="2"/>
    <x v="1"/>
  </r>
  <r>
    <x v="110"/>
    <x v="0"/>
    <x v="3"/>
    <x v="3"/>
    <x v="76"/>
    <x v="7"/>
    <x v="55"/>
    <x v="115"/>
    <x v="2"/>
    <x v="0"/>
    <x v="1"/>
    <x v="6"/>
  </r>
  <r>
    <x v="111"/>
    <x v="1"/>
    <x v="1"/>
    <x v="11"/>
    <x v="31"/>
    <x v="5"/>
    <x v="26"/>
    <x v="56"/>
    <x v="1"/>
    <x v="0"/>
    <x v="1"/>
    <x v="0"/>
  </r>
  <r>
    <x v="112"/>
    <x v="3"/>
    <x v="4"/>
    <x v="1"/>
    <x v="51"/>
    <x v="9"/>
    <x v="157"/>
    <x v="190"/>
    <x v="2"/>
    <x v="0"/>
    <x v="1"/>
    <x v="8"/>
  </r>
  <r>
    <x v="113"/>
    <x v="0"/>
    <x v="2"/>
    <x v="7"/>
    <x v="42"/>
    <x v="5"/>
    <x v="38"/>
    <x v="69"/>
    <x v="2"/>
    <x v="0"/>
    <x v="1"/>
    <x v="0"/>
  </r>
  <r>
    <x v="114"/>
    <x v="2"/>
    <x v="2"/>
    <x v="4"/>
    <x v="50"/>
    <x v="0"/>
    <x v="11"/>
    <x v="0"/>
    <x v="2"/>
    <x v="0"/>
    <x v="1"/>
    <x v="8"/>
  </r>
  <r>
    <x v="115"/>
    <x v="3"/>
    <x v="4"/>
    <x v="13"/>
    <x v="17"/>
    <x v="0"/>
    <x v="112"/>
    <x v="19"/>
    <x v="2"/>
    <x v="0"/>
    <x v="0"/>
    <x v="3"/>
  </r>
  <r>
    <x v="116"/>
    <x v="3"/>
    <x v="3"/>
    <x v="8"/>
    <x v="72"/>
    <x v="2"/>
    <x v="9"/>
    <x v="11"/>
    <x v="2"/>
    <x v="0"/>
    <x v="1"/>
    <x v="6"/>
  </r>
  <r>
    <x v="117"/>
    <x v="1"/>
    <x v="3"/>
    <x v="0"/>
    <x v="88"/>
    <x v="7"/>
    <x v="17"/>
    <x v="58"/>
    <x v="0"/>
    <x v="0"/>
    <x v="2"/>
    <x v="5"/>
  </r>
  <r>
    <x v="118"/>
    <x v="0"/>
    <x v="4"/>
    <x v="1"/>
    <x v="13"/>
    <x v="3"/>
    <x v="25"/>
    <x v="27"/>
    <x v="3"/>
    <x v="0"/>
    <x v="0"/>
    <x v="3"/>
  </r>
  <r>
    <x v="119"/>
    <x v="2"/>
    <x v="0"/>
    <x v="5"/>
    <x v="113"/>
    <x v="6"/>
    <x v="85"/>
    <x v="134"/>
    <x v="3"/>
    <x v="0"/>
    <x v="2"/>
    <x v="11"/>
  </r>
  <r>
    <x v="120"/>
    <x v="3"/>
    <x v="1"/>
    <x v="6"/>
    <x v="60"/>
    <x v="9"/>
    <x v="126"/>
    <x v="181"/>
    <x v="0"/>
    <x v="0"/>
    <x v="1"/>
    <x v="6"/>
  </r>
  <r>
    <x v="121"/>
    <x v="1"/>
    <x v="0"/>
    <x v="5"/>
    <x v="33"/>
    <x v="3"/>
    <x v="51"/>
    <x v="61"/>
    <x v="0"/>
    <x v="0"/>
    <x v="1"/>
    <x v="0"/>
  </r>
  <r>
    <x v="122"/>
    <x v="2"/>
    <x v="4"/>
    <x v="1"/>
    <x v="121"/>
    <x v="1"/>
    <x v="35"/>
    <x v="14"/>
    <x v="0"/>
    <x v="0"/>
    <x v="3"/>
    <x v="10"/>
  </r>
  <r>
    <x v="123"/>
    <x v="3"/>
    <x v="3"/>
    <x v="8"/>
    <x v="57"/>
    <x v="0"/>
    <x v="45"/>
    <x v="6"/>
    <x v="2"/>
    <x v="0"/>
    <x v="1"/>
    <x v="8"/>
  </r>
  <r>
    <x v="124"/>
    <x v="3"/>
    <x v="1"/>
    <x v="6"/>
    <x v="10"/>
    <x v="3"/>
    <x v="51"/>
    <x v="61"/>
    <x v="1"/>
    <x v="0"/>
    <x v="0"/>
    <x v="3"/>
  </r>
  <r>
    <x v="125"/>
    <x v="2"/>
    <x v="3"/>
    <x v="0"/>
    <x v="145"/>
    <x v="2"/>
    <x v="53"/>
    <x v="41"/>
    <x v="1"/>
    <x v="0"/>
    <x v="3"/>
    <x v="9"/>
  </r>
  <r>
    <x v="126"/>
    <x v="2"/>
    <x v="2"/>
    <x v="7"/>
    <x v="61"/>
    <x v="9"/>
    <x v="155"/>
    <x v="189"/>
    <x v="2"/>
    <x v="0"/>
    <x v="1"/>
    <x v="6"/>
  </r>
  <r>
    <x v="127"/>
    <x v="3"/>
    <x v="3"/>
    <x v="0"/>
    <x v="156"/>
    <x v="4"/>
    <x v="146"/>
    <x v="142"/>
    <x v="3"/>
    <x v="0"/>
    <x v="3"/>
    <x v="2"/>
  </r>
  <r>
    <x v="128"/>
    <x v="3"/>
    <x v="1"/>
    <x v="6"/>
    <x v="97"/>
    <x v="1"/>
    <x v="119"/>
    <x v="60"/>
    <x v="0"/>
    <x v="0"/>
    <x v="2"/>
    <x v="1"/>
  </r>
  <r>
    <x v="129"/>
    <x v="0"/>
    <x v="3"/>
    <x v="3"/>
    <x v="134"/>
    <x v="4"/>
    <x v="3"/>
    <x v="16"/>
    <x v="0"/>
    <x v="0"/>
    <x v="3"/>
    <x v="9"/>
  </r>
  <r>
    <x v="130"/>
    <x v="1"/>
    <x v="4"/>
    <x v="13"/>
    <x v="151"/>
    <x v="4"/>
    <x v="114"/>
    <x v="126"/>
    <x v="0"/>
    <x v="0"/>
    <x v="3"/>
    <x v="2"/>
  </r>
  <r>
    <x v="131"/>
    <x v="3"/>
    <x v="4"/>
    <x v="14"/>
    <x v="52"/>
    <x v="2"/>
    <x v="117"/>
    <x v="84"/>
    <x v="3"/>
    <x v="0"/>
    <x v="1"/>
    <x v="8"/>
  </r>
  <r>
    <x v="132"/>
    <x v="3"/>
    <x v="3"/>
    <x v="0"/>
    <x v="75"/>
    <x v="6"/>
    <x v="71"/>
    <x v="117"/>
    <x v="2"/>
    <x v="0"/>
    <x v="1"/>
    <x v="6"/>
  </r>
  <r>
    <x v="133"/>
    <x v="0"/>
    <x v="2"/>
    <x v="7"/>
    <x v="90"/>
    <x v="7"/>
    <x v="61"/>
    <x v="120"/>
    <x v="3"/>
    <x v="0"/>
    <x v="2"/>
    <x v="5"/>
  </r>
  <r>
    <x v="134"/>
    <x v="3"/>
    <x v="0"/>
    <x v="2"/>
    <x v="14"/>
    <x v="5"/>
    <x v="49"/>
    <x v="86"/>
    <x v="2"/>
    <x v="0"/>
    <x v="0"/>
    <x v="3"/>
  </r>
  <r>
    <x v="135"/>
    <x v="1"/>
    <x v="2"/>
    <x v="12"/>
    <x v="148"/>
    <x v="8"/>
    <x v="89"/>
    <x v="156"/>
    <x v="3"/>
    <x v="0"/>
    <x v="3"/>
    <x v="2"/>
  </r>
  <r>
    <x v="136"/>
    <x v="0"/>
    <x v="2"/>
    <x v="7"/>
    <x v="138"/>
    <x v="7"/>
    <x v="127"/>
    <x v="166"/>
    <x v="3"/>
    <x v="0"/>
    <x v="3"/>
    <x v="9"/>
  </r>
  <r>
    <x v="137"/>
    <x v="0"/>
    <x v="2"/>
    <x v="7"/>
    <x v="120"/>
    <x v="2"/>
    <x v="60"/>
    <x v="49"/>
    <x v="3"/>
    <x v="0"/>
    <x v="3"/>
    <x v="10"/>
  </r>
  <r>
    <x v="138"/>
    <x v="1"/>
    <x v="3"/>
    <x v="0"/>
    <x v="140"/>
    <x v="9"/>
    <x v="168"/>
    <x v="191"/>
    <x v="1"/>
    <x v="0"/>
    <x v="3"/>
    <x v="9"/>
  </r>
  <r>
    <x v="139"/>
    <x v="1"/>
    <x v="4"/>
    <x v="14"/>
    <x v="121"/>
    <x v="6"/>
    <x v="20"/>
    <x v="57"/>
    <x v="1"/>
    <x v="0"/>
    <x v="3"/>
    <x v="10"/>
  </r>
  <r>
    <x v="140"/>
    <x v="1"/>
    <x v="2"/>
    <x v="12"/>
    <x v="145"/>
    <x v="2"/>
    <x v="98"/>
    <x v="72"/>
    <x v="2"/>
    <x v="0"/>
    <x v="3"/>
    <x v="9"/>
  </r>
  <r>
    <x v="141"/>
    <x v="0"/>
    <x v="0"/>
    <x v="5"/>
    <x v="92"/>
    <x v="7"/>
    <x v="94"/>
    <x v="147"/>
    <x v="1"/>
    <x v="0"/>
    <x v="2"/>
    <x v="1"/>
  </r>
  <r>
    <x v="142"/>
    <x v="2"/>
    <x v="3"/>
    <x v="3"/>
    <x v="84"/>
    <x v="3"/>
    <x v="120"/>
    <x v="110"/>
    <x v="1"/>
    <x v="0"/>
    <x v="2"/>
    <x v="5"/>
  </r>
  <r>
    <x v="143"/>
    <x v="3"/>
    <x v="2"/>
    <x v="12"/>
    <x v="72"/>
    <x v="8"/>
    <x v="54"/>
    <x v="124"/>
    <x v="0"/>
    <x v="0"/>
    <x v="1"/>
    <x v="6"/>
  </r>
  <r>
    <x v="144"/>
    <x v="0"/>
    <x v="1"/>
    <x v="6"/>
    <x v="131"/>
    <x v="9"/>
    <x v="134"/>
    <x v="183"/>
    <x v="3"/>
    <x v="0"/>
    <x v="3"/>
    <x v="10"/>
  </r>
  <r>
    <x v="145"/>
    <x v="3"/>
    <x v="4"/>
    <x v="14"/>
    <x v="74"/>
    <x v="5"/>
    <x v="105"/>
    <x v="140"/>
    <x v="3"/>
    <x v="0"/>
    <x v="1"/>
    <x v="6"/>
  </r>
  <r>
    <x v="146"/>
    <x v="2"/>
    <x v="3"/>
    <x v="8"/>
    <x v="159"/>
    <x v="3"/>
    <x v="111"/>
    <x v="107"/>
    <x v="3"/>
    <x v="0"/>
    <x v="3"/>
    <x v="2"/>
  </r>
  <r>
    <x v="147"/>
    <x v="1"/>
    <x v="4"/>
    <x v="14"/>
    <x v="64"/>
    <x v="7"/>
    <x v="148"/>
    <x v="171"/>
    <x v="3"/>
    <x v="0"/>
    <x v="1"/>
    <x v="6"/>
  </r>
  <r>
    <x v="148"/>
    <x v="2"/>
    <x v="3"/>
    <x v="3"/>
    <x v="111"/>
    <x v="0"/>
    <x v="27"/>
    <x v="3"/>
    <x v="2"/>
    <x v="0"/>
    <x v="2"/>
    <x v="11"/>
  </r>
  <r>
    <x v="149"/>
    <x v="1"/>
    <x v="2"/>
    <x v="12"/>
    <x v="114"/>
    <x v="7"/>
    <x v="1"/>
    <x v="29"/>
    <x v="1"/>
    <x v="0"/>
    <x v="2"/>
    <x v="11"/>
  </r>
  <r>
    <x v="150"/>
    <x v="2"/>
    <x v="3"/>
    <x v="3"/>
    <x v="12"/>
    <x v="7"/>
    <x v="163"/>
    <x v="179"/>
    <x v="2"/>
    <x v="0"/>
    <x v="0"/>
    <x v="3"/>
  </r>
  <r>
    <x v="151"/>
    <x v="3"/>
    <x v="1"/>
    <x v="6"/>
    <x v="146"/>
    <x v="1"/>
    <x v="180"/>
    <x v="78"/>
    <x v="2"/>
    <x v="0"/>
    <x v="3"/>
    <x v="9"/>
  </r>
  <r>
    <x v="152"/>
    <x v="0"/>
    <x v="0"/>
    <x v="10"/>
    <x v="139"/>
    <x v="7"/>
    <x v="183"/>
    <x v="185"/>
    <x v="0"/>
    <x v="0"/>
    <x v="3"/>
    <x v="9"/>
  </r>
  <r>
    <x v="153"/>
    <x v="2"/>
    <x v="0"/>
    <x v="2"/>
    <x v="141"/>
    <x v="4"/>
    <x v="44"/>
    <x v="67"/>
    <x v="0"/>
    <x v="0"/>
    <x v="3"/>
    <x v="9"/>
  </r>
  <r>
    <x v="154"/>
    <x v="1"/>
    <x v="3"/>
    <x v="0"/>
    <x v="99"/>
    <x v="2"/>
    <x v="144"/>
    <x v="96"/>
    <x v="2"/>
    <x v="0"/>
    <x v="2"/>
    <x v="1"/>
  </r>
  <r>
    <x v="155"/>
    <x v="0"/>
    <x v="2"/>
    <x v="7"/>
    <x v="5"/>
    <x v="4"/>
    <x v="74"/>
    <x v="95"/>
    <x v="2"/>
    <x v="0"/>
    <x v="0"/>
    <x v="4"/>
  </r>
  <r>
    <x v="156"/>
    <x v="2"/>
    <x v="3"/>
    <x v="0"/>
    <x v="115"/>
    <x v="6"/>
    <x v="110"/>
    <x v="152"/>
    <x v="1"/>
    <x v="0"/>
    <x v="2"/>
    <x v="11"/>
  </r>
  <r>
    <x v="157"/>
    <x v="1"/>
    <x v="4"/>
    <x v="1"/>
    <x v="135"/>
    <x v="6"/>
    <x v="125"/>
    <x v="155"/>
    <x v="1"/>
    <x v="0"/>
    <x v="3"/>
    <x v="9"/>
  </r>
  <r>
    <x v="158"/>
    <x v="2"/>
    <x v="3"/>
    <x v="3"/>
    <x v="43"/>
    <x v="7"/>
    <x v="130"/>
    <x v="167"/>
    <x v="2"/>
    <x v="0"/>
    <x v="1"/>
    <x v="0"/>
  </r>
  <r>
    <x v="159"/>
    <x v="1"/>
    <x v="3"/>
    <x v="8"/>
    <x v="104"/>
    <x v="4"/>
    <x v="141"/>
    <x v="138"/>
    <x v="1"/>
    <x v="0"/>
    <x v="2"/>
    <x v="1"/>
  </r>
  <r>
    <x v="160"/>
    <x v="0"/>
    <x v="2"/>
    <x v="12"/>
    <x v="131"/>
    <x v="4"/>
    <x v="131"/>
    <x v="132"/>
    <x v="3"/>
    <x v="0"/>
    <x v="3"/>
    <x v="10"/>
  </r>
  <r>
    <x v="161"/>
    <x v="0"/>
    <x v="1"/>
    <x v="9"/>
    <x v="32"/>
    <x v="6"/>
    <x v="181"/>
    <x v="176"/>
    <x v="3"/>
    <x v="0"/>
    <x v="1"/>
    <x v="0"/>
  </r>
  <r>
    <x v="162"/>
    <x v="3"/>
    <x v="2"/>
    <x v="7"/>
    <x v="128"/>
    <x v="5"/>
    <x v="113"/>
    <x v="143"/>
    <x v="2"/>
    <x v="0"/>
    <x v="3"/>
    <x v="10"/>
  </r>
  <r>
    <x v="163"/>
    <x v="3"/>
    <x v="1"/>
    <x v="11"/>
    <x v="50"/>
    <x v="0"/>
    <x v="110"/>
    <x v="17"/>
    <x v="0"/>
    <x v="0"/>
    <x v="1"/>
    <x v="8"/>
  </r>
  <r>
    <x v="164"/>
    <x v="3"/>
    <x v="0"/>
    <x v="5"/>
    <x v="55"/>
    <x v="3"/>
    <x v="123"/>
    <x v="111"/>
    <x v="2"/>
    <x v="0"/>
    <x v="1"/>
    <x v="8"/>
  </r>
  <r>
    <x v="165"/>
    <x v="2"/>
    <x v="4"/>
    <x v="13"/>
    <x v="137"/>
    <x v="4"/>
    <x v="142"/>
    <x v="139"/>
    <x v="1"/>
    <x v="0"/>
    <x v="3"/>
    <x v="9"/>
  </r>
  <r>
    <x v="166"/>
    <x v="1"/>
    <x v="2"/>
    <x v="4"/>
    <x v="62"/>
    <x v="7"/>
    <x v="4"/>
    <x v="39"/>
    <x v="2"/>
    <x v="0"/>
    <x v="1"/>
    <x v="6"/>
  </r>
  <r>
    <x v="167"/>
    <x v="0"/>
    <x v="4"/>
    <x v="1"/>
    <x v="67"/>
    <x v="6"/>
    <x v="37"/>
    <x v="79"/>
    <x v="1"/>
    <x v="0"/>
    <x v="1"/>
    <x v="6"/>
  </r>
  <r>
    <x v="168"/>
    <x v="0"/>
    <x v="4"/>
    <x v="13"/>
    <x v="115"/>
    <x v="8"/>
    <x v="56"/>
    <x v="125"/>
    <x v="1"/>
    <x v="0"/>
    <x v="2"/>
    <x v="11"/>
  </r>
  <r>
    <x v="169"/>
    <x v="0"/>
    <x v="1"/>
    <x v="9"/>
    <x v="71"/>
    <x v="1"/>
    <x v="91"/>
    <x v="46"/>
    <x v="0"/>
    <x v="0"/>
    <x v="1"/>
    <x v="6"/>
  </r>
  <r>
    <x v="170"/>
    <x v="3"/>
    <x v="4"/>
    <x v="1"/>
    <x v="123"/>
    <x v="5"/>
    <x v="19"/>
    <x v="44"/>
    <x v="3"/>
    <x v="0"/>
    <x v="3"/>
    <x v="10"/>
  </r>
  <r>
    <x v="171"/>
    <x v="1"/>
    <x v="2"/>
    <x v="12"/>
    <x v="101"/>
    <x v="5"/>
    <x v="139"/>
    <x v="150"/>
    <x v="2"/>
    <x v="0"/>
    <x v="2"/>
    <x v="1"/>
  </r>
  <r>
    <x v="172"/>
    <x v="0"/>
    <x v="0"/>
    <x v="10"/>
    <x v="19"/>
    <x v="3"/>
    <x v="93"/>
    <x v="93"/>
    <x v="0"/>
    <x v="0"/>
    <x v="0"/>
    <x v="3"/>
  </r>
  <r>
    <x v="173"/>
    <x v="0"/>
    <x v="0"/>
    <x v="5"/>
    <x v="135"/>
    <x v="3"/>
    <x v="133"/>
    <x v="116"/>
    <x v="0"/>
    <x v="0"/>
    <x v="3"/>
    <x v="9"/>
  </r>
  <r>
    <x v="174"/>
    <x v="0"/>
    <x v="3"/>
    <x v="3"/>
    <x v="146"/>
    <x v="6"/>
    <x v="24"/>
    <x v="65"/>
    <x v="1"/>
    <x v="0"/>
    <x v="3"/>
    <x v="9"/>
  </r>
  <r>
    <x v="175"/>
    <x v="0"/>
    <x v="2"/>
    <x v="7"/>
    <x v="110"/>
    <x v="1"/>
    <x v="21"/>
    <x v="8"/>
    <x v="1"/>
    <x v="0"/>
    <x v="2"/>
    <x v="11"/>
  </r>
  <r>
    <x v="176"/>
    <x v="3"/>
    <x v="0"/>
    <x v="2"/>
    <x v="101"/>
    <x v="5"/>
    <x v="138"/>
    <x v="148"/>
    <x v="3"/>
    <x v="0"/>
    <x v="2"/>
    <x v="1"/>
  </r>
  <r>
    <x v="177"/>
    <x v="2"/>
    <x v="0"/>
    <x v="5"/>
    <x v="92"/>
    <x v="1"/>
    <x v="176"/>
    <x v="75"/>
    <x v="3"/>
    <x v="0"/>
    <x v="2"/>
    <x v="1"/>
  </r>
  <r>
    <x v="178"/>
    <x v="0"/>
    <x v="0"/>
    <x v="10"/>
    <x v="3"/>
    <x v="5"/>
    <x v="41"/>
    <x v="76"/>
    <x v="3"/>
    <x v="0"/>
    <x v="0"/>
    <x v="4"/>
  </r>
  <r>
    <x v="179"/>
    <x v="0"/>
    <x v="3"/>
    <x v="0"/>
    <x v="15"/>
    <x v="5"/>
    <x v="104"/>
    <x v="136"/>
    <x v="2"/>
    <x v="0"/>
    <x v="0"/>
    <x v="3"/>
  </r>
  <r>
    <x v="180"/>
    <x v="0"/>
    <x v="2"/>
    <x v="12"/>
    <x v="30"/>
    <x v="1"/>
    <x v="179"/>
    <x v="77"/>
    <x v="3"/>
    <x v="0"/>
    <x v="1"/>
    <x v="0"/>
  </r>
  <r>
    <x v="181"/>
    <x v="2"/>
    <x v="2"/>
    <x v="4"/>
    <x v="143"/>
    <x v="9"/>
    <x v="2"/>
    <x v="52"/>
    <x v="0"/>
    <x v="0"/>
    <x v="3"/>
    <x v="9"/>
  </r>
  <r>
    <x v="182"/>
    <x v="2"/>
    <x v="1"/>
    <x v="11"/>
    <x v="126"/>
    <x v="3"/>
    <x v="14"/>
    <x v="18"/>
    <x v="1"/>
    <x v="0"/>
    <x v="3"/>
    <x v="10"/>
  </r>
  <r>
    <x v="183"/>
    <x v="2"/>
    <x v="0"/>
    <x v="2"/>
    <x v="68"/>
    <x v="2"/>
    <x v="165"/>
    <x v="105"/>
    <x v="0"/>
    <x v="0"/>
    <x v="1"/>
    <x v="6"/>
  </r>
  <r>
    <x v="184"/>
    <x v="2"/>
    <x v="1"/>
    <x v="11"/>
    <x v="118"/>
    <x v="4"/>
    <x v="167"/>
    <x v="146"/>
    <x v="1"/>
    <x v="0"/>
    <x v="3"/>
    <x v="10"/>
  </r>
  <r>
    <x v="185"/>
    <x v="1"/>
    <x v="2"/>
    <x v="4"/>
    <x v="22"/>
    <x v="0"/>
    <x v="73"/>
    <x v="12"/>
    <x v="1"/>
    <x v="0"/>
    <x v="0"/>
    <x v="7"/>
  </r>
  <r>
    <x v="186"/>
    <x v="1"/>
    <x v="0"/>
    <x v="10"/>
    <x v="27"/>
    <x v="4"/>
    <x v="10"/>
    <x v="23"/>
    <x v="1"/>
    <x v="0"/>
    <x v="0"/>
    <x v="7"/>
  </r>
  <r>
    <x v="187"/>
    <x v="1"/>
    <x v="3"/>
    <x v="3"/>
    <x v="6"/>
    <x v="7"/>
    <x v="84"/>
    <x v="145"/>
    <x v="2"/>
    <x v="0"/>
    <x v="0"/>
    <x v="3"/>
  </r>
  <r>
    <x v="188"/>
    <x v="1"/>
    <x v="0"/>
    <x v="5"/>
    <x v="100"/>
    <x v="8"/>
    <x v="42"/>
    <x v="113"/>
    <x v="0"/>
    <x v="0"/>
    <x v="2"/>
    <x v="1"/>
  </r>
  <r>
    <x v="189"/>
    <x v="3"/>
    <x v="0"/>
    <x v="10"/>
    <x v="144"/>
    <x v="0"/>
    <x v="12"/>
    <x v="1"/>
    <x v="3"/>
    <x v="0"/>
    <x v="3"/>
    <x v="9"/>
  </r>
  <r>
    <x v="190"/>
    <x v="1"/>
    <x v="3"/>
    <x v="8"/>
    <x v="109"/>
    <x v="7"/>
    <x v="17"/>
    <x v="58"/>
    <x v="0"/>
    <x v="0"/>
    <x v="2"/>
    <x v="11"/>
  </r>
  <r>
    <x v="191"/>
    <x v="2"/>
    <x v="1"/>
    <x v="6"/>
    <x v="7"/>
    <x v="2"/>
    <x v="57"/>
    <x v="43"/>
    <x v="2"/>
    <x v="0"/>
    <x v="0"/>
    <x v="3"/>
  </r>
  <r>
    <x v="192"/>
    <x v="0"/>
    <x v="3"/>
    <x v="3"/>
    <x v="101"/>
    <x v="8"/>
    <x v="121"/>
    <x v="170"/>
    <x v="3"/>
    <x v="0"/>
    <x v="2"/>
    <x v="1"/>
  </r>
  <r>
    <x v="193"/>
    <x v="1"/>
    <x v="2"/>
    <x v="4"/>
    <x v="147"/>
    <x v="8"/>
    <x v="153"/>
    <x v="182"/>
    <x v="1"/>
    <x v="0"/>
    <x v="3"/>
    <x v="2"/>
  </r>
  <r>
    <x v="194"/>
    <x v="2"/>
    <x v="3"/>
    <x v="8"/>
    <x v="91"/>
    <x v="5"/>
    <x v="173"/>
    <x v="160"/>
    <x v="3"/>
    <x v="0"/>
    <x v="2"/>
    <x v="5"/>
  </r>
  <r>
    <x v="195"/>
    <x v="1"/>
    <x v="3"/>
    <x v="8"/>
    <x v="63"/>
    <x v="6"/>
    <x v="68"/>
    <x v="114"/>
    <x v="2"/>
    <x v="0"/>
    <x v="1"/>
    <x v="6"/>
  </r>
  <r>
    <x v="196"/>
    <x v="3"/>
    <x v="1"/>
    <x v="11"/>
    <x v="8"/>
    <x v="1"/>
    <x v="175"/>
    <x v="74"/>
    <x v="0"/>
    <x v="0"/>
    <x v="0"/>
    <x v="3"/>
  </r>
  <r>
    <x v="197"/>
    <x v="1"/>
    <x v="2"/>
    <x v="12"/>
    <x v="80"/>
    <x v="2"/>
    <x v="106"/>
    <x v="82"/>
    <x v="0"/>
    <x v="0"/>
    <x v="2"/>
    <x v="5"/>
  </r>
  <r>
    <x v="198"/>
    <x v="0"/>
    <x v="0"/>
    <x v="5"/>
    <x v="150"/>
    <x v="1"/>
    <x v="81"/>
    <x v="36"/>
    <x v="2"/>
    <x v="0"/>
    <x v="3"/>
    <x v="2"/>
  </r>
  <r>
    <x v="199"/>
    <x v="1"/>
    <x v="3"/>
    <x v="3"/>
    <x v="56"/>
    <x v="9"/>
    <x v="67"/>
    <x v="144"/>
    <x v="2"/>
    <x v="0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 rowPageCount="1" colPageCount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1">
    <field x="1"/>
  </rowFields>
  <pageFields count="1">
    <pageField fld="11" hier="-1"/>
  </pageFields>
  <dataFields count="1">
    <dataField name="Total_Sales" fld="7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Pilot1" cacheId="0" applyNumberFormats="0" applyBorderFormats="0" applyFontFormats="0" applyPatternFormats="0" applyAlignmentFormats="0" applyWidthHeightFormats="0" dataCaption="Values" itemPrintTitles="1" indent="0" outline="1" outlineData="1">
  <location ref="A3:B9" firstHeaderRow="1" firstDataRow="1" firstDataCol="1"/>
  <pivotFields count="12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dataFields count="1">
    <dataField name="Total_Sales" fld="7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Pilot2" cacheId="0" applyNumberFormats="0" applyBorderFormats="0" applyFontFormats="0" applyPatternFormats="0" applyAlignmentFormats="0" applyWidthHeightFormats="0" dataCaption="Values" itemPrintTitles="1" indent="0" outline="1" outlineData="1">
  <location ref="A3:B8" firstHeaderRow="1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dataFields count="1">
    <dataField name="Total_Sales" fld="7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0" dataCaption="Values" itemPrintTitles="1" indent="0" outline="1" outlineData="1">
  <location ref="A3:B19" firstHeaderRow="1" firstDataRow="1" firstDataCol="1"/>
  <pivotFields count="12"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dataFields count="1">
    <dataField name="Sum of Total Sales" fld="7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8"/>
  <sheetViews>
    <sheetView tabSelected="1" zoomScale="130" zoomScaleNormal="130" workbookViewId="0">
      <selection activeCell="C14" sqref="C14"/>
    </sheetView>
  </sheetViews>
  <sheetFormatPr defaultColWidth="8.6640625" defaultRowHeight="14.4" x14ac:dyDescent="0.3"/>
  <cols>
    <col min="1" max="1" width="10.77734375" style="15" customWidth="1"/>
    <col min="2" max="2" width="12.21875" style="15" customWidth="1"/>
    <col min="3" max="3" width="14.6640625" style="15" customWidth="1"/>
    <col min="4" max="4" width="10.77734375" style="15" customWidth="1"/>
    <col min="5" max="34" width="3.77734375" style="15" customWidth="1"/>
    <col min="35" max="195" width="4.77734375" style="15" customWidth="1"/>
    <col min="196" max="196" width="10.77734375" style="15" customWidth="1"/>
  </cols>
  <sheetData>
    <row r="1" spans="1:4" ht="14.25" customHeight="1" x14ac:dyDescent="0.3">
      <c r="A1" s="16" t="s">
        <v>0</v>
      </c>
      <c r="B1" s="17" t="s">
        <v>1</v>
      </c>
    </row>
    <row r="2" spans="1:4" x14ac:dyDescent="0.3">
      <c r="A2"/>
      <c r="B2"/>
    </row>
    <row r="3" spans="1:4" ht="14.25" customHeight="1" x14ac:dyDescent="0.3">
      <c r="A3" s="18" t="s">
        <v>2</v>
      </c>
      <c r="B3" s="19" t="s">
        <v>3</v>
      </c>
      <c r="C3" s="20" t="s">
        <v>4</v>
      </c>
      <c r="D3" s="20" t="s">
        <v>5</v>
      </c>
    </row>
    <row r="4" spans="1:4" ht="14.25" customHeight="1" x14ac:dyDescent="0.3">
      <c r="A4" s="21" t="s">
        <v>6</v>
      </c>
      <c r="B4" s="22">
        <v>186135</v>
      </c>
      <c r="C4" s="15">
        <f>B4*1.18</f>
        <v>219639.3</v>
      </c>
      <c r="D4" s="15">
        <f>B4*0.18</f>
        <v>33504.299999999996</v>
      </c>
    </row>
    <row r="5" spans="1:4" ht="14.25" customHeight="1" x14ac:dyDescent="0.3">
      <c r="A5" s="23" t="s">
        <v>7</v>
      </c>
      <c r="B5" s="24">
        <v>142258</v>
      </c>
      <c r="C5" s="15">
        <f>B5*1.18</f>
        <v>167864.44</v>
      </c>
      <c r="D5" s="15">
        <f>B5*0.18</f>
        <v>25606.44</v>
      </c>
    </row>
    <row r="6" spans="1:4" ht="14.25" customHeight="1" x14ac:dyDescent="0.3">
      <c r="A6" s="23" t="s">
        <v>8</v>
      </c>
      <c r="B6" s="24">
        <v>147334</v>
      </c>
      <c r="C6" s="15">
        <f>B6*1.18</f>
        <v>173854.12</v>
      </c>
      <c r="D6" s="15">
        <f>B6*0.18</f>
        <v>26520.12</v>
      </c>
    </row>
    <row r="7" spans="1:4" ht="14.25" customHeight="1" x14ac:dyDescent="0.3">
      <c r="A7" s="23" t="s">
        <v>9</v>
      </c>
      <c r="B7" s="25">
        <v>129812</v>
      </c>
      <c r="C7" s="15">
        <f>B7*1.18</f>
        <v>153178.16</v>
      </c>
      <c r="D7" s="15">
        <f>B7*0.18</f>
        <v>23366.16</v>
      </c>
    </row>
    <row r="8" spans="1:4" ht="14.25" customHeight="1" x14ac:dyDescent="0.3">
      <c r="A8" s="26" t="s">
        <v>10</v>
      </c>
      <c r="B8" s="27">
        <v>605539</v>
      </c>
      <c r="C8" s="15">
        <f>SUM(C4:C7)</f>
        <v>714536.02</v>
      </c>
      <c r="D8" s="15">
        <f>SUM(D4:D7)</f>
        <v>108997.01999999999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9"/>
  <sheetViews>
    <sheetView zoomScale="140" zoomScaleNormal="140" workbookViewId="0">
      <selection activeCell="A3" sqref="A3"/>
    </sheetView>
  </sheetViews>
  <sheetFormatPr defaultColWidth="8.6640625" defaultRowHeight="14.4" x14ac:dyDescent="0.3"/>
  <cols>
    <col min="1" max="1" width="12.33203125" style="15" customWidth="1"/>
    <col min="2" max="2" width="12.109375" style="28" customWidth="1"/>
  </cols>
  <sheetData>
    <row r="3" spans="1:2" ht="14.25" customHeight="1" x14ac:dyDescent="0.3">
      <c r="A3" s="18" t="s">
        <v>11</v>
      </c>
      <c r="B3" s="19" t="s">
        <v>3</v>
      </c>
    </row>
    <row r="4" spans="1:2" ht="14.25" customHeight="1" x14ac:dyDescent="0.3">
      <c r="A4" s="21" t="s">
        <v>12</v>
      </c>
      <c r="B4" s="22">
        <v>128379</v>
      </c>
    </row>
    <row r="5" spans="1:2" ht="14.25" customHeight="1" x14ac:dyDescent="0.3">
      <c r="A5" s="23" t="s">
        <v>13</v>
      </c>
      <c r="B5" s="24">
        <v>104525</v>
      </c>
    </row>
    <row r="6" spans="1:2" ht="14.25" customHeight="1" x14ac:dyDescent="0.3">
      <c r="A6" s="23" t="s">
        <v>14</v>
      </c>
      <c r="B6" s="24">
        <v>124242</v>
      </c>
    </row>
    <row r="7" spans="1:2" ht="14.25" customHeight="1" x14ac:dyDescent="0.3">
      <c r="A7" s="23" t="s">
        <v>15</v>
      </c>
      <c r="B7" s="24">
        <v>155146</v>
      </c>
    </row>
    <row r="8" spans="1:2" ht="14.25" customHeight="1" x14ac:dyDescent="0.3">
      <c r="A8" s="23" t="s">
        <v>16</v>
      </c>
      <c r="B8" s="25">
        <v>93247</v>
      </c>
    </row>
    <row r="9" spans="1:2" ht="14.25" customHeight="1" x14ac:dyDescent="0.3">
      <c r="A9" s="26" t="s">
        <v>10</v>
      </c>
      <c r="B9" s="27">
        <v>605539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8"/>
  <sheetViews>
    <sheetView zoomScale="130" zoomScaleNormal="130" workbookViewId="0">
      <selection activeCell="B19" sqref="B19"/>
    </sheetView>
  </sheetViews>
  <sheetFormatPr defaultColWidth="8.6640625" defaultRowHeight="14.4" x14ac:dyDescent="0.3"/>
  <cols>
    <col min="1" max="1" width="12.33203125" style="15" customWidth="1"/>
    <col min="2" max="2" width="12.21875" style="28" customWidth="1"/>
    <col min="3" max="3" width="14.6640625" style="15" customWidth="1"/>
  </cols>
  <sheetData>
    <row r="3" spans="1:3" ht="14.25" customHeight="1" x14ac:dyDescent="0.3">
      <c r="A3" s="18" t="s">
        <v>2</v>
      </c>
      <c r="B3" s="19" t="s">
        <v>3</v>
      </c>
      <c r="C3" s="20" t="s">
        <v>4</v>
      </c>
    </row>
    <row r="4" spans="1:3" ht="14.25" customHeight="1" x14ac:dyDescent="0.3">
      <c r="A4" s="21" t="s">
        <v>6</v>
      </c>
      <c r="B4" s="22">
        <v>186135</v>
      </c>
      <c r="C4" s="15">
        <f>B4*1.18</f>
        <v>219639.3</v>
      </c>
    </row>
    <row r="5" spans="1:3" ht="14.25" customHeight="1" x14ac:dyDescent="0.3">
      <c r="A5" s="23" t="s">
        <v>7</v>
      </c>
      <c r="B5" s="24">
        <v>142258</v>
      </c>
      <c r="C5" s="15">
        <f>B5*1.18</f>
        <v>167864.44</v>
      </c>
    </row>
    <row r="6" spans="1:3" ht="14.25" customHeight="1" x14ac:dyDescent="0.3">
      <c r="A6" s="23" t="s">
        <v>8</v>
      </c>
      <c r="B6" s="24">
        <v>147334</v>
      </c>
      <c r="C6" s="15">
        <f>B6*1.18</f>
        <v>173854.12</v>
      </c>
    </row>
    <row r="7" spans="1:3" ht="14.25" customHeight="1" x14ac:dyDescent="0.3">
      <c r="A7" s="23" t="s">
        <v>9</v>
      </c>
      <c r="B7" s="25">
        <v>129812</v>
      </c>
      <c r="C7" s="15">
        <f>B7*1.18</f>
        <v>153178.16</v>
      </c>
    </row>
    <row r="8" spans="1:3" ht="14.25" customHeight="1" x14ac:dyDescent="0.3">
      <c r="A8" s="26" t="s">
        <v>10</v>
      </c>
      <c r="B8" s="27">
        <v>605539</v>
      </c>
      <c r="C8" s="15">
        <f>SUM(C4:C7)</f>
        <v>714536.02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9"/>
  <sheetViews>
    <sheetView zoomScaleNormal="100" workbookViewId="0">
      <selection activeCell="R13" sqref="R13"/>
    </sheetView>
  </sheetViews>
  <sheetFormatPr defaultColWidth="8.6640625" defaultRowHeight="14.4" x14ac:dyDescent="0.3"/>
  <cols>
    <col min="1" max="1" width="12.33203125" style="15" customWidth="1"/>
    <col min="2" max="2" width="16.109375" style="28" customWidth="1"/>
  </cols>
  <sheetData>
    <row r="3" spans="1:2" ht="14.25" customHeight="1" x14ac:dyDescent="0.3">
      <c r="A3" s="18" t="s">
        <v>17</v>
      </c>
      <c r="B3" s="19" t="s">
        <v>18</v>
      </c>
    </row>
    <row r="4" spans="1:2" ht="14.25" customHeight="1" x14ac:dyDescent="0.3">
      <c r="A4" s="21" t="s">
        <v>19</v>
      </c>
      <c r="B4" s="22">
        <v>65625</v>
      </c>
    </row>
    <row r="5" spans="1:2" ht="14.25" customHeight="1" x14ac:dyDescent="0.3">
      <c r="A5" s="23" t="s">
        <v>20</v>
      </c>
      <c r="B5" s="24">
        <v>26497</v>
      </c>
    </row>
    <row r="6" spans="1:2" ht="14.25" customHeight="1" x14ac:dyDescent="0.3">
      <c r="A6" s="23" t="s">
        <v>21</v>
      </c>
      <c r="B6" s="24">
        <v>48978</v>
      </c>
    </row>
    <row r="7" spans="1:2" ht="14.25" customHeight="1" x14ac:dyDescent="0.3">
      <c r="A7" s="23" t="s">
        <v>22</v>
      </c>
      <c r="B7" s="24">
        <v>51776</v>
      </c>
    </row>
    <row r="8" spans="1:2" ht="14.25" customHeight="1" x14ac:dyDescent="0.3">
      <c r="A8" s="23" t="s">
        <v>23</v>
      </c>
      <c r="B8" s="24">
        <v>45484</v>
      </c>
    </row>
    <row r="9" spans="1:2" ht="14.25" customHeight="1" x14ac:dyDescent="0.3">
      <c r="A9" s="23" t="s">
        <v>24</v>
      </c>
      <c r="B9" s="24">
        <v>48227</v>
      </c>
    </row>
    <row r="10" spans="1:2" ht="14.25" customHeight="1" x14ac:dyDescent="0.3">
      <c r="A10" s="23" t="s">
        <v>25</v>
      </c>
      <c r="B10" s="24">
        <v>37445</v>
      </c>
    </row>
    <row r="11" spans="1:2" ht="14.25" customHeight="1" x14ac:dyDescent="0.3">
      <c r="A11" s="23" t="s">
        <v>26</v>
      </c>
      <c r="B11" s="24">
        <v>46236</v>
      </c>
    </row>
    <row r="12" spans="1:2" ht="14.25" customHeight="1" x14ac:dyDescent="0.3">
      <c r="A12" s="23" t="s">
        <v>27</v>
      </c>
      <c r="B12" s="24">
        <v>37745</v>
      </c>
    </row>
    <row r="13" spans="1:2" ht="14.25" customHeight="1" x14ac:dyDescent="0.3">
      <c r="A13" s="23" t="s">
        <v>28</v>
      </c>
      <c r="B13" s="24">
        <v>34282</v>
      </c>
    </row>
    <row r="14" spans="1:2" ht="14.25" customHeight="1" x14ac:dyDescent="0.3">
      <c r="A14" s="23" t="s">
        <v>29</v>
      </c>
      <c r="B14" s="24">
        <v>31174</v>
      </c>
    </row>
    <row r="15" spans="1:2" ht="14.25" customHeight="1" x14ac:dyDescent="0.3">
      <c r="A15" s="23" t="s">
        <v>30</v>
      </c>
      <c r="B15" s="24">
        <v>32798</v>
      </c>
    </row>
    <row r="16" spans="1:2" ht="14.25" customHeight="1" x14ac:dyDescent="0.3">
      <c r="A16" s="23" t="s">
        <v>31</v>
      </c>
      <c r="B16" s="24">
        <v>32522</v>
      </c>
    </row>
    <row r="17" spans="1:2" ht="14.25" customHeight="1" x14ac:dyDescent="0.3">
      <c r="A17" s="23" t="s">
        <v>32</v>
      </c>
      <c r="B17" s="24">
        <v>30232</v>
      </c>
    </row>
    <row r="18" spans="1:2" ht="14.25" customHeight="1" x14ac:dyDescent="0.3">
      <c r="A18" s="23" t="s">
        <v>33</v>
      </c>
      <c r="B18" s="25">
        <v>36518</v>
      </c>
    </row>
    <row r="19" spans="1:2" ht="14.25" customHeight="1" x14ac:dyDescent="0.3">
      <c r="A19" s="26" t="s">
        <v>10</v>
      </c>
      <c r="B19" s="27">
        <v>605539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6"/>
  <sheetViews>
    <sheetView showGridLines="0" zoomScale="60" zoomScaleNormal="60" workbookViewId="0">
      <selection activeCell="Z44" sqref="Z44"/>
    </sheetView>
  </sheetViews>
  <sheetFormatPr defaultColWidth="8.6640625" defaultRowHeight="14.4" x14ac:dyDescent="0.3"/>
  <cols>
    <col min="27" max="28" width="13" style="15" hidden="1" customWidth="1"/>
    <col min="30" max="31" width="13" style="15" hidden="1" customWidth="1"/>
    <col min="33" max="34" width="13" style="15" hidden="1" customWidth="1"/>
  </cols>
  <sheetData>
    <row r="1" spans="1:34" ht="33.75" customHeight="1" x14ac:dyDescent="0.3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AA1" s="15" t="s">
        <v>6</v>
      </c>
      <c r="AB1" s="15">
        <f>SUMIFS(Data!$H$2:$H$201,Data!$B$2:$B$201,AA1)</f>
        <v>186135</v>
      </c>
      <c r="AD1" s="15" t="s">
        <v>12</v>
      </c>
      <c r="AE1" s="15">
        <f>SUMIFS(Data!$H$2:$H$201,Data!$C$2:$C$201,AD1)</f>
        <v>128379</v>
      </c>
      <c r="AG1" s="15" t="s">
        <v>19</v>
      </c>
      <c r="AH1" s="15">
        <f>SUMIFS(Data!$H$2:$H$201,Data!$D$2:$D$201,AG1)</f>
        <v>65625</v>
      </c>
    </row>
    <row r="2" spans="1:34" ht="19.5" customHeight="1" x14ac:dyDescent="0.3">
      <c r="A2" s="13" t="s">
        <v>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AA2" s="15" t="s">
        <v>7</v>
      </c>
      <c r="AB2" s="15">
        <f>SUMIFS(Data!$H$2:$H$201,Data!$B$2:$B$201,AA2)</f>
        <v>142258</v>
      </c>
      <c r="AD2" s="15" t="s">
        <v>13</v>
      </c>
      <c r="AE2" s="15">
        <f>SUMIFS(Data!$H$2:$H$201,Data!$C$2:$C$201,AD2)</f>
        <v>104525</v>
      </c>
      <c r="AG2" s="15" t="s">
        <v>20</v>
      </c>
      <c r="AH2" s="15">
        <f>SUMIFS(Data!$H$2:$H$201,Data!$D$2:$D$201,AG2)</f>
        <v>26497</v>
      </c>
    </row>
    <row r="3" spans="1:34" ht="14.25" customHeight="1" x14ac:dyDescent="0.3">
      <c r="AA3" s="15" t="s">
        <v>8</v>
      </c>
      <c r="AB3" s="15">
        <f>SUMIFS(Data!$H$2:$H$201,Data!$B$2:$B$201,AA3)</f>
        <v>147334</v>
      </c>
      <c r="AD3" s="15" t="s">
        <v>14</v>
      </c>
      <c r="AE3" s="15">
        <f>SUMIFS(Data!$H$2:$H$201,Data!$C$2:$C$201,AD3)</f>
        <v>124242</v>
      </c>
      <c r="AG3" s="15" t="s">
        <v>21</v>
      </c>
      <c r="AH3" s="15">
        <f>SUMIFS(Data!$H$2:$H$201,Data!$D$2:$D$201,AG3)</f>
        <v>48978</v>
      </c>
    </row>
    <row r="4" spans="1:34" ht="18" customHeight="1" x14ac:dyDescent="0.3">
      <c r="A4" s="12" t="s">
        <v>36</v>
      </c>
      <c r="B4" s="12"/>
      <c r="C4" s="12"/>
      <c r="D4" s="12"/>
      <c r="E4" s="12" t="s">
        <v>37</v>
      </c>
      <c r="F4" s="12"/>
      <c r="G4" s="12"/>
      <c r="H4" s="12"/>
      <c r="I4" s="11" t="s">
        <v>38</v>
      </c>
      <c r="J4" s="11"/>
      <c r="K4" s="11"/>
      <c r="L4" s="11"/>
      <c r="M4" s="10" t="s">
        <v>39</v>
      </c>
      <c r="N4" s="10"/>
      <c r="O4" s="10"/>
      <c r="P4" s="10"/>
      <c r="Q4" s="10" t="s">
        <v>40</v>
      </c>
      <c r="R4" s="10"/>
      <c r="S4" s="10"/>
      <c r="T4" s="10"/>
      <c r="U4" s="9" t="s">
        <v>41</v>
      </c>
      <c r="V4" s="9"/>
      <c r="W4" s="9"/>
      <c r="X4" s="9"/>
      <c r="AA4" s="15" t="s">
        <v>9</v>
      </c>
      <c r="AB4" s="15">
        <f>SUMIFS(Data!$H$2:$H$201,Data!$B$2:$B$201,AA4)</f>
        <v>129812</v>
      </c>
      <c r="AD4" s="15" t="s">
        <v>15</v>
      </c>
      <c r="AE4" s="15">
        <f>SUMIFS(Data!$H$2:$H$201,Data!$C$2:$C$201,AD4)</f>
        <v>155146</v>
      </c>
      <c r="AG4" s="15" t="s">
        <v>22</v>
      </c>
      <c r="AH4" s="15">
        <f>SUMIFS(Data!$H$2:$H$201,Data!$D$2:$D$201,AG4)</f>
        <v>51776</v>
      </c>
    </row>
    <row r="5" spans="1:34" ht="15.75" customHeight="1" x14ac:dyDescent="0.3">
      <c r="A5" s="8">
        <f>SUM(Data!H2:H201)</f>
        <v>605539</v>
      </c>
      <c r="B5" s="8"/>
      <c r="C5" s="8"/>
      <c r="D5" s="8"/>
      <c r="E5" s="8">
        <f>SUM(Data!I2:I201)</f>
        <v>354000</v>
      </c>
      <c r="F5" s="8"/>
      <c r="G5" s="8"/>
      <c r="H5" s="8"/>
      <c r="I5" s="7">
        <f>SUM(Data!H2:H201)/SUM(Data!I2:I201)</f>
        <v>1.7105621468926553</v>
      </c>
      <c r="J5" s="7"/>
      <c r="K5" s="7"/>
      <c r="L5" s="7"/>
      <c r="M5" s="6">
        <f>COUNTA(Data!A2:A201)</f>
        <v>200</v>
      </c>
      <c r="N5" s="6"/>
      <c r="O5" s="6"/>
      <c r="P5" s="6"/>
      <c r="Q5" s="5">
        <f>AVERAGE(Data!H2:H201)</f>
        <v>3027.6950000000002</v>
      </c>
      <c r="R5" s="5"/>
      <c r="S5" s="5"/>
      <c r="T5" s="5"/>
      <c r="U5" s="4">
        <f>SUM(Data!H2:H201)*0.18</f>
        <v>108997.01999999999</v>
      </c>
      <c r="V5" s="4"/>
      <c r="W5" s="4"/>
      <c r="X5" s="4"/>
      <c r="AD5" s="15" t="s">
        <v>16</v>
      </c>
      <c r="AE5" s="15">
        <f>SUMIFS(Data!$H$2:$H$201,Data!$C$2:$C$201,AD5)</f>
        <v>93247</v>
      </c>
      <c r="AG5" s="15" t="s">
        <v>23</v>
      </c>
      <c r="AH5" s="15">
        <f>SUMIFS(Data!$H$2:$H$201,Data!$D$2:$D$201,AG5)</f>
        <v>45484</v>
      </c>
    </row>
    <row r="6" spans="1:34" ht="15.75" customHeight="1" x14ac:dyDescent="0.3">
      <c r="A6" s="8"/>
      <c r="B6" s="8"/>
      <c r="C6" s="8"/>
      <c r="D6" s="8"/>
      <c r="E6" s="8"/>
      <c r="F6" s="8"/>
      <c r="G6" s="8"/>
      <c r="H6" s="8"/>
      <c r="I6" s="7"/>
      <c r="J6" s="7"/>
      <c r="K6" s="7"/>
      <c r="L6" s="7"/>
      <c r="M6" s="6"/>
      <c r="N6" s="6"/>
      <c r="O6" s="6"/>
      <c r="P6" s="6"/>
      <c r="Q6" s="5"/>
      <c r="R6" s="5"/>
      <c r="S6" s="5"/>
      <c r="T6" s="5"/>
      <c r="U6" s="4"/>
      <c r="V6" s="4"/>
      <c r="W6" s="4"/>
      <c r="X6" s="4"/>
      <c r="AG6" s="15" t="s">
        <v>24</v>
      </c>
      <c r="AH6" s="15">
        <f>SUMIFS(Data!$H$2:$H$201,Data!$D$2:$D$201,AG6)</f>
        <v>48227</v>
      </c>
    </row>
    <row r="7" spans="1:34" ht="15.75" customHeight="1" x14ac:dyDescent="0.3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6"/>
      <c r="N7" s="6"/>
      <c r="O7" s="6"/>
      <c r="P7" s="6"/>
      <c r="Q7" s="5"/>
      <c r="R7" s="5"/>
      <c r="S7" s="5"/>
      <c r="T7" s="5"/>
      <c r="U7" s="4"/>
      <c r="V7" s="4"/>
      <c r="W7" s="4"/>
      <c r="X7" s="4"/>
      <c r="AG7" s="15" t="s">
        <v>25</v>
      </c>
      <c r="AH7" s="15">
        <f>SUMIFS(Data!$H$2:$H$201,Data!$D$2:$D$201,AG7)</f>
        <v>37445</v>
      </c>
    </row>
    <row r="8" spans="1:34" ht="14.25" customHeight="1" x14ac:dyDescent="0.3">
      <c r="AG8" s="15" t="s">
        <v>26</v>
      </c>
      <c r="AH8" s="15">
        <f>SUMIFS(Data!$H$2:$H$201,Data!$D$2:$D$201,AG8)</f>
        <v>46236</v>
      </c>
    </row>
    <row r="9" spans="1:34" ht="14.25" customHeight="1" x14ac:dyDescent="0.3">
      <c r="AG9" s="15" t="s">
        <v>27</v>
      </c>
      <c r="AH9" s="15">
        <f>SUMIFS(Data!$H$2:$H$201,Data!$D$2:$D$201,AG9)</f>
        <v>37745</v>
      </c>
    </row>
    <row r="10" spans="1:34" ht="14.25" customHeight="1" x14ac:dyDescent="0.3">
      <c r="AG10" s="15" t="s">
        <v>28</v>
      </c>
      <c r="AH10" s="15">
        <f>SUMIFS(Data!$H$2:$H$201,Data!$D$2:$D$201,AG10)</f>
        <v>34282</v>
      </c>
    </row>
    <row r="11" spans="1:34" ht="14.25" customHeight="1" x14ac:dyDescent="0.3">
      <c r="AG11" s="15" t="s">
        <v>29</v>
      </c>
      <c r="AH11" s="15">
        <f>SUMIFS(Data!$H$2:$H$201,Data!$D$2:$D$201,AG11)</f>
        <v>31174</v>
      </c>
    </row>
    <row r="12" spans="1:34" ht="14.25" customHeight="1" x14ac:dyDescent="0.3">
      <c r="AG12" s="15" t="s">
        <v>30</v>
      </c>
      <c r="AH12" s="15">
        <f>SUMIFS(Data!$H$2:$H$201,Data!$D$2:$D$201,AG12)</f>
        <v>32798</v>
      </c>
    </row>
    <row r="13" spans="1:34" ht="14.25" customHeight="1" x14ac:dyDescent="0.3">
      <c r="AG13" s="15" t="s">
        <v>31</v>
      </c>
      <c r="AH13" s="15">
        <f>SUMIFS(Data!$H$2:$H$201,Data!$D$2:$D$201,AG13)</f>
        <v>32522</v>
      </c>
    </row>
    <row r="14" spans="1:34" ht="14.25" customHeight="1" x14ac:dyDescent="0.3">
      <c r="AG14" s="15" t="s">
        <v>32</v>
      </c>
      <c r="AH14" s="15">
        <f>SUMIFS(Data!$H$2:$H$201,Data!$D$2:$D$201,AG14)</f>
        <v>30232</v>
      </c>
    </row>
    <row r="15" spans="1:34" ht="14.25" customHeight="1" x14ac:dyDescent="0.3">
      <c r="AG15" s="15" t="s">
        <v>33</v>
      </c>
      <c r="AH15" s="15">
        <f>SUMIFS(Data!$H$2:$H$201,Data!$D$2:$D$201,AG15)</f>
        <v>36518</v>
      </c>
    </row>
    <row r="44" spans="1:23" ht="19.5" customHeight="1" x14ac:dyDescent="0.3">
      <c r="A44" s="3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8" customHeight="1" x14ac:dyDescent="0.3">
      <c r="A45" s="2" t="s">
        <v>43</v>
      </c>
      <c r="B45" s="2"/>
      <c r="C45" s="2"/>
      <c r="D45" s="2"/>
      <c r="E45" s="2"/>
      <c r="F45" s="2"/>
      <c r="G45" s="2"/>
      <c r="H45" s="2" t="s">
        <v>44</v>
      </c>
      <c r="I45" s="2"/>
      <c r="J45" s="2"/>
      <c r="K45" s="2"/>
      <c r="L45" s="2"/>
      <c r="M45" s="2"/>
      <c r="N45" s="2"/>
      <c r="O45" s="2" t="s">
        <v>45</v>
      </c>
      <c r="P45" s="2"/>
      <c r="Q45" s="2"/>
      <c r="R45" s="2"/>
      <c r="S45" s="2"/>
      <c r="T45" s="2"/>
      <c r="U45" s="2"/>
    </row>
    <row r="46" spans="1:23" ht="21.75" customHeight="1" x14ac:dyDescent="0.3">
      <c r="A46" s="1" t="str">
        <f>INDEX(AA1:AA4,MATCH(MAX(AB1:AB4),AB1:AB4,0))</f>
        <v>East</v>
      </c>
      <c r="B46" s="1"/>
      <c r="C46" s="1"/>
      <c r="D46" s="1"/>
      <c r="E46" s="1"/>
      <c r="F46" s="1"/>
      <c r="G46" s="1"/>
      <c r="H46" s="1" t="str">
        <f>INDEX(AD1:AD5,MATCH(MAX(AE1:AE5),AE1:AE5,0))</f>
        <v>Food</v>
      </c>
      <c r="I46" s="1"/>
      <c r="J46" s="1"/>
      <c r="K46" s="1"/>
      <c r="L46" s="1"/>
      <c r="M46" s="1"/>
      <c r="N46" s="1"/>
      <c r="O46" s="1" t="str">
        <f>INDEX(AG1:AG15,MATCH(MAX(AH1:AH15),AH1:AH15,0))</f>
        <v>Bread</v>
      </c>
      <c r="P46" s="1"/>
      <c r="Q46" s="1"/>
      <c r="R46" s="1"/>
      <c r="S46" s="1"/>
      <c r="T46" s="1"/>
      <c r="U46" s="1"/>
    </row>
  </sheetData>
  <mergeCells count="21">
    <mergeCell ref="A46:G46"/>
    <mergeCell ref="H46:N46"/>
    <mergeCell ref="O46:U46"/>
    <mergeCell ref="U5:X7"/>
    <mergeCell ref="A44:W44"/>
    <mergeCell ref="A45:G45"/>
    <mergeCell ref="H45:N45"/>
    <mergeCell ref="O45:U45"/>
    <mergeCell ref="A5:D7"/>
    <mergeCell ref="E5:H7"/>
    <mergeCell ref="I5:L7"/>
    <mergeCell ref="M5:P7"/>
    <mergeCell ref="Q5:T7"/>
    <mergeCell ref="A1:W1"/>
    <mergeCell ref="A2:W2"/>
    <mergeCell ref="A4:D4"/>
    <mergeCell ref="E4:H4"/>
    <mergeCell ref="I4:L4"/>
    <mergeCell ref="M4:P4"/>
    <mergeCell ref="Q4:T4"/>
    <mergeCell ref="U4:X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01"/>
  <sheetViews>
    <sheetView zoomScale="130" zoomScaleNormal="130" workbookViewId="0">
      <pane ySplit="1" topLeftCell="A188" activePane="bottomLeft" state="frozen"/>
      <selection pane="bottomLeft" activeCell="G198" sqref="G198"/>
    </sheetView>
  </sheetViews>
  <sheetFormatPr defaultColWidth="6" defaultRowHeight="14.4" x14ac:dyDescent="0.3"/>
  <cols>
    <col min="1" max="1" width="6.109375" style="29" customWidth="1"/>
    <col min="2" max="2" width="6.6640625" style="30" customWidth="1"/>
    <col min="3" max="3" width="9.77734375" style="30" customWidth="1"/>
    <col min="4" max="4" width="11.33203125" style="30" customWidth="1"/>
    <col min="5" max="5" width="10.44140625" style="31" customWidth="1"/>
    <col min="6" max="6" width="8.21875" style="29" customWidth="1"/>
    <col min="7" max="7" width="8.5546875" style="29" customWidth="1"/>
    <col min="8" max="8" width="9.88671875" style="28" customWidth="1"/>
    <col min="9" max="9" width="6.21875" style="29" customWidth="1"/>
    <col min="10" max="10" width="5" style="29" customWidth="1"/>
    <col min="11" max="11" width="7.44140625" style="30" customWidth="1"/>
    <col min="12" max="12" width="9.88671875" style="30" customWidth="1"/>
    <col min="20" max="20" width="10.33203125" style="15" customWidth="1"/>
    <col min="21" max="21" width="5.21875" style="15" customWidth="1"/>
    <col min="22" max="22" width="9" style="15" customWidth="1"/>
    <col min="23" max="23" width="9.88671875" style="15" customWidth="1"/>
    <col min="24" max="24" width="1.77734375" style="15" customWidth="1"/>
    <col min="25" max="25" width="8.44140625" style="15" customWidth="1"/>
  </cols>
  <sheetData>
    <row r="1" spans="1:25" ht="14.25" customHeight="1" x14ac:dyDescent="0.3">
      <c r="A1" s="32" t="s">
        <v>46</v>
      </c>
      <c r="B1" s="33" t="s">
        <v>2</v>
      </c>
      <c r="C1" s="33" t="s">
        <v>11</v>
      </c>
      <c r="D1" s="33" t="s">
        <v>17</v>
      </c>
      <c r="E1" s="34" t="s">
        <v>47</v>
      </c>
      <c r="F1" s="32" t="s">
        <v>48</v>
      </c>
      <c r="G1" s="32" t="s">
        <v>49</v>
      </c>
      <c r="H1" s="35" t="s">
        <v>36</v>
      </c>
      <c r="I1" s="32" t="s">
        <v>50</v>
      </c>
      <c r="J1" s="32" t="s">
        <v>51</v>
      </c>
      <c r="K1" s="33" t="s">
        <v>52</v>
      </c>
      <c r="L1" s="33" t="s">
        <v>0</v>
      </c>
      <c r="M1" s="36"/>
      <c r="N1" s="36"/>
      <c r="O1" s="36"/>
      <c r="P1" s="36"/>
      <c r="Q1" s="36"/>
      <c r="R1" s="36"/>
      <c r="S1" s="36"/>
      <c r="T1" s="36" t="s">
        <v>53</v>
      </c>
      <c r="V1" s="37" t="s">
        <v>54</v>
      </c>
      <c r="W1" s="37" t="s">
        <v>55</v>
      </c>
    </row>
    <row r="2" spans="1:25" ht="14.25" customHeight="1" x14ac:dyDescent="0.3">
      <c r="A2" s="29">
        <v>1</v>
      </c>
      <c r="B2" s="30" t="s">
        <v>6</v>
      </c>
      <c r="C2" s="30" t="s">
        <v>14</v>
      </c>
      <c r="D2" s="30" t="s">
        <v>26</v>
      </c>
      <c r="E2" s="31">
        <v>45052</v>
      </c>
      <c r="F2" s="29">
        <v>4</v>
      </c>
      <c r="G2" s="29">
        <v>242</v>
      </c>
      <c r="H2" s="28">
        <v>195</v>
      </c>
      <c r="I2" s="29">
        <v>1000</v>
      </c>
      <c r="J2" s="29">
        <v>2023</v>
      </c>
      <c r="K2" s="30" t="s">
        <v>56</v>
      </c>
      <c r="L2" s="30" t="s">
        <v>57</v>
      </c>
      <c r="T2" s="15">
        <f>IF(U2=TRUE(),I2-H2,NA())</f>
        <v>805</v>
      </c>
      <c r="U2" s="38" t="b">
        <f>TRUE()</f>
        <v>1</v>
      </c>
      <c r="X2" s="15">
        <v>3</v>
      </c>
      <c r="Y2" s="15" t="s">
        <v>58</v>
      </c>
    </row>
    <row r="3" spans="1:25" ht="14.25" customHeight="1" x14ac:dyDescent="0.3">
      <c r="A3" s="29">
        <v>2</v>
      </c>
      <c r="B3" s="30" t="s">
        <v>9</v>
      </c>
      <c r="C3" s="30" t="s">
        <v>12</v>
      </c>
      <c r="D3" s="30" t="s">
        <v>21</v>
      </c>
      <c r="E3" s="31">
        <v>44943</v>
      </c>
      <c r="F3" s="29">
        <v>1</v>
      </c>
      <c r="G3" s="29">
        <v>195</v>
      </c>
      <c r="H3" s="28">
        <v>195</v>
      </c>
      <c r="I3" s="29">
        <v>1500</v>
      </c>
      <c r="J3" s="29">
        <v>2023</v>
      </c>
      <c r="K3" s="30" t="s">
        <v>59</v>
      </c>
      <c r="L3" s="30" t="s">
        <v>60</v>
      </c>
      <c r="W3" s="29">
        <f>CHOOSE(X2,H2,F2,G2)</f>
        <v>242</v>
      </c>
      <c r="Y3" s="15" t="s">
        <v>48</v>
      </c>
    </row>
    <row r="4" spans="1:25" ht="14.25" customHeight="1" x14ac:dyDescent="0.3">
      <c r="A4" s="29">
        <v>3</v>
      </c>
      <c r="B4" s="30" t="s">
        <v>7</v>
      </c>
      <c r="C4" s="30" t="s">
        <v>16</v>
      </c>
      <c r="D4" s="30" t="s">
        <v>32</v>
      </c>
      <c r="E4" s="31">
        <v>45214</v>
      </c>
      <c r="F4" s="29">
        <v>4</v>
      </c>
      <c r="G4" s="29">
        <v>833</v>
      </c>
      <c r="H4" s="28">
        <v>3332</v>
      </c>
      <c r="I4" s="29">
        <v>2500</v>
      </c>
      <c r="J4" s="29">
        <v>2023</v>
      </c>
      <c r="K4" s="30" t="s">
        <v>61</v>
      </c>
      <c r="L4" s="30" t="s">
        <v>62</v>
      </c>
      <c r="Y4" s="15" t="s">
        <v>49</v>
      </c>
    </row>
    <row r="5" spans="1:25" ht="14.25" customHeight="1" x14ac:dyDescent="0.3">
      <c r="A5" s="29">
        <v>4</v>
      </c>
      <c r="B5" s="30" t="s">
        <v>6</v>
      </c>
      <c r="C5" s="30" t="s">
        <v>16</v>
      </c>
      <c r="D5" s="30" t="s">
        <v>33</v>
      </c>
      <c r="E5" s="31">
        <v>44930</v>
      </c>
      <c r="F5" s="29">
        <v>3</v>
      </c>
      <c r="G5" s="29">
        <v>814</v>
      </c>
      <c r="H5" s="28">
        <v>2442</v>
      </c>
      <c r="I5" s="29">
        <v>2500</v>
      </c>
      <c r="J5" s="29">
        <v>2023</v>
      </c>
      <c r="K5" s="30" t="s">
        <v>59</v>
      </c>
      <c r="L5" s="30" t="s">
        <v>60</v>
      </c>
    </row>
    <row r="6" spans="1:25" ht="14.25" customHeight="1" x14ac:dyDescent="0.3">
      <c r="A6" s="29">
        <v>5</v>
      </c>
      <c r="B6" s="30" t="s">
        <v>8</v>
      </c>
      <c r="C6" s="30" t="s">
        <v>13</v>
      </c>
      <c r="D6" s="30" t="s">
        <v>28</v>
      </c>
      <c r="E6" s="31">
        <v>45037</v>
      </c>
      <c r="F6" s="29">
        <v>6</v>
      </c>
      <c r="G6" s="29">
        <v>204</v>
      </c>
      <c r="H6" s="28">
        <v>1224</v>
      </c>
      <c r="I6" s="29">
        <v>1000</v>
      </c>
      <c r="J6" s="29">
        <v>2023</v>
      </c>
      <c r="K6" s="30" t="s">
        <v>56</v>
      </c>
      <c r="L6" s="30" t="s">
        <v>63</v>
      </c>
    </row>
    <row r="7" spans="1:25" ht="14.25" customHeight="1" x14ac:dyDescent="0.3">
      <c r="A7" s="29">
        <v>6</v>
      </c>
      <c r="B7" s="30" t="s">
        <v>6</v>
      </c>
      <c r="C7" s="30" t="s">
        <v>15</v>
      </c>
      <c r="D7" s="30" t="s">
        <v>19</v>
      </c>
      <c r="E7" s="31">
        <v>45103</v>
      </c>
      <c r="F7" s="29">
        <v>10</v>
      </c>
      <c r="G7" s="29">
        <v>370</v>
      </c>
      <c r="H7" s="28">
        <v>3700</v>
      </c>
      <c r="I7" s="29">
        <v>1000</v>
      </c>
      <c r="J7" s="29">
        <v>2023</v>
      </c>
      <c r="K7" s="30" t="s">
        <v>56</v>
      </c>
      <c r="L7" s="30" t="s">
        <v>64</v>
      </c>
    </row>
    <row r="8" spans="1:25" ht="14.25" customHeight="1" x14ac:dyDescent="0.3">
      <c r="A8" s="29">
        <v>7</v>
      </c>
      <c r="B8" s="30" t="s">
        <v>7</v>
      </c>
      <c r="C8" s="30" t="s">
        <v>15</v>
      </c>
      <c r="D8" s="30" t="s">
        <v>22</v>
      </c>
      <c r="E8" s="31">
        <v>45120</v>
      </c>
      <c r="F8" s="29">
        <v>2</v>
      </c>
      <c r="G8" s="29">
        <v>665</v>
      </c>
      <c r="H8" s="28">
        <v>1330</v>
      </c>
      <c r="I8" s="29">
        <v>2000</v>
      </c>
      <c r="J8" s="29">
        <v>2023</v>
      </c>
      <c r="K8" s="30" t="s">
        <v>65</v>
      </c>
      <c r="L8" s="30" t="s">
        <v>66</v>
      </c>
    </row>
    <row r="9" spans="1:25" ht="14.25" customHeight="1" x14ac:dyDescent="0.3">
      <c r="A9" s="29">
        <v>8</v>
      </c>
      <c r="B9" s="30" t="s">
        <v>8</v>
      </c>
      <c r="C9" s="30" t="s">
        <v>12</v>
      </c>
      <c r="D9" s="30" t="s">
        <v>29</v>
      </c>
      <c r="E9" s="31">
        <v>45287</v>
      </c>
      <c r="F9" s="29">
        <v>2</v>
      </c>
      <c r="G9" s="29">
        <v>146</v>
      </c>
      <c r="H9" s="28">
        <v>292</v>
      </c>
      <c r="I9" s="29">
        <v>1500</v>
      </c>
      <c r="J9" s="29">
        <v>2023</v>
      </c>
      <c r="K9" s="30" t="s">
        <v>61</v>
      </c>
      <c r="L9" s="30" t="s">
        <v>67</v>
      </c>
    </row>
    <row r="10" spans="1:25" ht="14.25" customHeight="1" x14ac:dyDescent="0.3">
      <c r="A10" s="29">
        <v>9</v>
      </c>
      <c r="B10" s="30" t="s">
        <v>8</v>
      </c>
      <c r="C10" s="30" t="s">
        <v>13</v>
      </c>
      <c r="D10" s="30" t="s">
        <v>30</v>
      </c>
      <c r="E10" s="31">
        <v>44978</v>
      </c>
      <c r="F10" s="29">
        <v>7</v>
      </c>
      <c r="G10" s="29">
        <v>384</v>
      </c>
      <c r="H10" s="28">
        <v>2688</v>
      </c>
      <c r="I10" s="29">
        <v>2500</v>
      </c>
      <c r="J10" s="29">
        <v>2023</v>
      </c>
      <c r="K10" s="30" t="s">
        <v>59</v>
      </c>
      <c r="L10" s="30" t="s">
        <v>68</v>
      </c>
    </row>
    <row r="11" spans="1:25" ht="14.25" customHeight="1" x14ac:dyDescent="0.3">
      <c r="A11" s="29">
        <v>10</v>
      </c>
      <c r="B11" s="30" t="s">
        <v>6</v>
      </c>
      <c r="C11" s="30" t="s">
        <v>13</v>
      </c>
      <c r="D11" s="30" t="s">
        <v>30</v>
      </c>
      <c r="E11" s="31">
        <v>45108</v>
      </c>
      <c r="F11" s="29">
        <v>4</v>
      </c>
      <c r="G11" s="29">
        <v>786</v>
      </c>
      <c r="H11" s="28">
        <v>3144</v>
      </c>
      <c r="I11" s="29">
        <v>2000</v>
      </c>
      <c r="J11" s="29">
        <v>2023</v>
      </c>
      <c r="K11" s="30" t="s">
        <v>65</v>
      </c>
      <c r="L11" s="30" t="s">
        <v>66</v>
      </c>
    </row>
    <row r="12" spans="1:25" ht="14.25" customHeight="1" x14ac:dyDescent="0.3">
      <c r="A12" s="29">
        <v>11</v>
      </c>
      <c r="B12" s="30" t="s">
        <v>8</v>
      </c>
      <c r="C12" s="30" t="s">
        <v>14</v>
      </c>
      <c r="D12" s="30" t="s">
        <v>23</v>
      </c>
      <c r="E12" s="31">
        <v>45200</v>
      </c>
      <c r="F12" s="29">
        <v>4</v>
      </c>
      <c r="G12" s="29">
        <v>267</v>
      </c>
      <c r="H12" s="28">
        <v>1068</v>
      </c>
      <c r="I12" s="29">
        <v>2500</v>
      </c>
      <c r="J12" s="29">
        <v>2023</v>
      </c>
      <c r="K12" s="30" t="s">
        <v>61</v>
      </c>
      <c r="L12" s="30" t="s">
        <v>62</v>
      </c>
    </row>
    <row r="13" spans="1:25" ht="14.25" customHeight="1" x14ac:dyDescent="0.3">
      <c r="A13" s="29">
        <v>12</v>
      </c>
      <c r="B13" s="30" t="s">
        <v>8</v>
      </c>
      <c r="C13" s="30" t="s">
        <v>15</v>
      </c>
      <c r="D13" s="30" t="s">
        <v>27</v>
      </c>
      <c r="E13" s="31">
        <v>45277</v>
      </c>
      <c r="F13" s="29">
        <v>6</v>
      </c>
      <c r="G13" s="29">
        <v>963</v>
      </c>
      <c r="H13" s="28">
        <v>5778</v>
      </c>
      <c r="I13" s="29">
        <v>1000</v>
      </c>
      <c r="J13" s="29">
        <v>2023</v>
      </c>
      <c r="K13" s="30" t="s">
        <v>61</v>
      </c>
      <c r="L13" s="30" t="s">
        <v>67</v>
      </c>
    </row>
    <row r="14" spans="1:25" ht="14.25" customHeight="1" x14ac:dyDescent="0.3">
      <c r="A14" s="29">
        <v>13</v>
      </c>
      <c r="B14" s="30" t="s">
        <v>6</v>
      </c>
      <c r="C14" s="30" t="s">
        <v>16</v>
      </c>
      <c r="D14" s="30" t="s">
        <v>20</v>
      </c>
      <c r="E14" s="31">
        <v>45132</v>
      </c>
      <c r="F14" s="29">
        <v>5</v>
      </c>
      <c r="G14" s="29">
        <v>167</v>
      </c>
      <c r="H14" s="28">
        <v>835</v>
      </c>
      <c r="I14" s="29">
        <v>1500</v>
      </c>
      <c r="J14" s="29">
        <v>2023</v>
      </c>
      <c r="K14" s="30" t="s">
        <v>65</v>
      </c>
      <c r="L14" s="30" t="s">
        <v>66</v>
      </c>
    </row>
    <row r="15" spans="1:25" ht="14.25" customHeight="1" x14ac:dyDescent="0.3">
      <c r="A15" s="29">
        <v>14</v>
      </c>
      <c r="B15" s="30" t="s">
        <v>6</v>
      </c>
      <c r="C15" s="30" t="s">
        <v>12</v>
      </c>
      <c r="D15" s="30" t="s">
        <v>24</v>
      </c>
      <c r="E15" s="31">
        <v>45035</v>
      </c>
      <c r="F15" s="29">
        <v>8</v>
      </c>
      <c r="G15" s="29">
        <v>505</v>
      </c>
      <c r="H15" s="28">
        <v>4040</v>
      </c>
      <c r="I15" s="29">
        <v>2500</v>
      </c>
      <c r="J15" s="29">
        <v>2023</v>
      </c>
      <c r="K15" s="30" t="s">
        <v>56</v>
      </c>
      <c r="L15" s="30" t="s">
        <v>63</v>
      </c>
    </row>
    <row r="16" spans="1:25" ht="14.25" customHeight="1" x14ac:dyDescent="0.3">
      <c r="A16" s="29">
        <v>15</v>
      </c>
      <c r="B16" s="30" t="s">
        <v>8</v>
      </c>
      <c r="C16" s="30" t="s">
        <v>16</v>
      </c>
      <c r="D16" s="30" t="s">
        <v>33</v>
      </c>
      <c r="E16" s="31">
        <v>45053</v>
      </c>
      <c r="F16" s="29">
        <v>9</v>
      </c>
      <c r="G16" s="29">
        <v>651</v>
      </c>
      <c r="H16" s="28">
        <v>5859</v>
      </c>
      <c r="I16" s="29">
        <v>2000</v>
      </c>
      <c r="J16" s="29">
        <v>2023</v>
      </c>
      <c r="K16" s="30" t="s">
        <v>56</v>
      </c>
      <c r="L16" s="30" t="s">
        <v>57</v>
      </c>
    </row>
    <row r="17" spans="1:12" ht="14.25" customHeight="1" x14ac:dyDescent="0.3">
      <c r="A17" s="29">
        <v>16</v>
      </c>
      <c r="B17" s="30" t="s">
        <v>9</v>
      </c>
      <c r="C17" s="30" t="s">
        <v>12</v>
      </c>
      <c r="D17" s="30" t="s">
        <v>29</v>
      </c>
      <c r="E17" s="31">
        <v>45112</v>
      </c>
      <c r="F17" s="29">
        <v>4</v>
      </c>
      <c r="G17" s="29">
        <v>241</v>
      </c>
      <c r="H17" s="28">
        <v>964</v>
      </c>
      <c r="I17" s="29">
        <v>2500</v>
      </c>
      <c r="J17" s="29">
        <v>2023</v>
      </c>
      <c r="K17" s="30" t="s">
        <v>65</v>
      </c>
      <c r="L17" s="30" t="s">
        <v>66</v>
      </c>
    </row>
    <row r="18" spans="1:12" ht="14.25" customHeight="1" x14ac:dyDescent="0.3">
      <c r="A18" s="29">
        <v>17</v>
      </c>
      <c r="B18" s="30" t="s">
        <v>7</v>
      </c>
      <c r="C18" s="30" t="s">
        <v>14</v>
      </c>
      <c r="D18" s="30" t="s">
        <v>26</v>
      </c>
      <c r="E18" s="31">
        <v>45005</v>
      </c>
      <c r="F18" s="29">
        <v>3</v>
      </c>
      <c r="G18" s="29">
        <v>911</v>
      </c>
      <c r="H18" s="28">
        <v>2733</v>
      </c>
      <c r="I18" s="29">
        <v>2500</v>
      </c>
      <c r="J18" s="29">
        <v>2023</v>
      </c>
      <c r="K18" s="30" t="s">
        <v>59</v>
      </c>
      <c r="L18" s="30" t="s">
        <v>69</v>
      </c>
    </row>
    <row r="19" spans="1:12" ht="14.25" customHeight="1" x14ac:dyDescent="0.3">
      <c r="A19" s="29">
        <v>18</v>
      </c>
      <c r="B19" s="30" t="s">
        <v>9</v>
      </c>
      <c r="C19" s="30" t="s">
        <v>12</v>
      </c>
      <c r="D19" s="30" t="s">
        <v>21</v>
      </c>
      <c r="E19" s="31">
        <v>45122</v>
      </c>
      <c r="F19" s="29">
        <v>10</v>
      </c>
      <c r="G19" s="29">
        <v>579</v>
      </c>
      <c r="H19" s="28">
        <v>5790</v>
      </c>
      <c r="I19" s="29">
        <v>2000</v>
      </c>
      <c r="J19" s="29">
        <v>2023</v>
      </c>
      <c r="K19" s="30" t="s">
        <v>65</v>
      </c>
      <c r="L19" s="30" t="s">
        <v>66</v>
      </c>
    </row>
    <row r="20" spans="1:12" ht="14.25" customHeight="1" x14ac:dyDescent="0.3">
      <c r="A20" s="29">
        <v>19</v>
      </c>
      <c r="B20" s="30" t="s">
        <v>7</v>
      </c>
      <c r="C20" s="30" t="s">
        <v>12</v>
      </c>
      <c r="D20" s="30" t="s">
        <v>21</v>
      </c>
      <c r="E20" s="31">
        <v>45276</v>
      </c>
      <c r="F20" s="29">
        <v>9</v>
      </c>
      <c r="G20" s="29">
        <v>868</v>
      </c>
      <c r="H20" s="28">
        <v>7812</v>
      </c>
      <c r="I20" s="29">
        <v>2000</v>
      </c>
      <c r="J20" s="29">
        <v>2023</v>
      </c>
      <c r="K20" s="30" t="s">
        <v>61</v>
      </c>
      <c r="L20" s="30" t="s">
        <v>67</v>
      </c>
    </row>
    <row r="21" spans="1:12" ht="14.25" customHeight="1" x14ac:dyDescent="0.3">
      <c r="A21" s="29">
        <v>20</v>
      </c>
      <c r="B21" s="30" t="s">
        <v>6</v>
      </c>
      <c r="C21" s="30" t="s">
        <v>13</v>
      </c>
      <c r="D21" s="30" t="s">
        <v>30</v>
      </c>
      <c r="E21" s="31">
        <v>45149</v>
      </c>
      <c r="F21" s="29">
        <v>3</v>
      </c>
      <c r="G21" s="29">
        <v>564</v>
      </c>
      <c r="H21" s="28">
        <v>1692</v>
      </c>
      <c r="I21" s="29">
        <v>1000</v>
      </c>
      <c r="J21" s="29">
        <v>2023</v>
      </c>
      <c r="K21" s="30" t="s">
        <v>65</v>
      </c>
      <c r="L21" s="30" t="s">
        <v>70</v>
      </c>
    </row>
    <row r="22" spans="1:12" ht="14.25" customHeight="1" x14ac:dyDescent="0.3">
      <c r="A22" s="29">
        <v>21</v>
      </c>
      <c r="B22" s="30" t="s">
        <v>8</v>
      </c>
      <c r="C22" s="30" t="s">
        <v>13</v>
      </c>
      <c r="D22" s="30" t="s">
        <v>25</v>
      </c>
      <c r="E22" s="31">
        <v>45186</v>
      </c>
      <c r="F22" s="29">
        <v>2</v>
      </c>
      <c r="G22" s="29">
        <v>991</v>
      </c>
      <c r="H22" s="28">
        <v>1982</v>
      </c>
      <c r="I22" s="29">
        <v>2000</v>
      </c>
      <c r="J22" s="29">
        <v>2023</v>
      </c>
      <c r="K22" s="30" t="s">
        <v>65</v>
      </c>
      <c r="L22" s="30" t="s">
        <v>71</v>
      </c>
    </row>
    <row r="23" spans="1:12" ht="14.25" customHeight="1" x14ac:dyDescent="0.3">
      <c r="A23" s="29">
        <v>22</v>
      </c>
      <c r="B23" s="30" t="s">
        <v>8</v>
      </c>
      <c r="C23" s="30" t="s">
        <v>12</v>
      </c>
      <c r="D23" s="30" t="s">
        <v>24</v>
      </c>
      <c r="E23" s="31">
        <v>45005</v>
      </c>
      <c r="F23" s="29">
        <v>6</v>
      </c>
      <c r="G23" s="29">
        <v>880</v>
      </c>
      <c r="H23" s="28">
        <v>5280</v>
      </c>
      <c r="I23" s="29">
        <v>1500</v>
      </c>
      <c r="J23" s="29">
        <v>2023</v>
      </c>
      <c r="K23" s="30" t="s">
        <v>59</v>
      </c>
      <c r="L23" s="30" t="s">
        <v>69</v>
      </c>
    </row>
    <row r="24" spans="1:12" ht="14.25" customHeight="1" x14ac:dyDescent="0.3">
      <c r="A24" s="29">
        <v>23</v>
      </c>
      <c r="B24" s="30" t="s">
        <v>7</v>
      </c>
      <c r="C24" s="30" t="s">
        <v>12</v>
      </c>
      <c r="D24" s="30" t="s">
        <v>24</v>
      </c>
      <c r="E24" s="31">
        <v>45233</v>
      </c>
      <c r="F24" s="29">
        <v>6</v>
      </c>
      <c r="G24" s="29">
        <v>600</v>
      </c>
      <c r="H24" s="28">
        <v>3600</v>
      </c>
      <c r="I24" s="29">
        <v>1000</v>
      </c>
      <c r="J24" s="29">
        <v>2023</v>
      </c>
      <c r="K24" s="30" t="s">
        <v>61</v>
      </c>
      <c r="L24" s="30" t="s">
        <v>72</v>
      </c>
    </row>
    <row r="25" spans="1:12" ht="14.25" customHeight="1" x14ac:dyDescent="0.3">
      <c r="A25" s="29">
        <v>24</v>
      </c>
      <c r="B25" s="30" t="s">
        <v>6</v>
      </c>
      <c r="C25" s="30" t="s">
        <v>14</v>
      </c>
      <c r="D25" s="30" t="s">
        <v>31</v>
      </c>
      <c r="E25" s="31">
        <v>45049</v>
      </c>
      <c r="F25" s="29">
        <v>1</v>
      </c>
      <c r="G25" s="29">
        <v>346</v>
      </c>
      <c r="H25" s="28">
        <v>346</v>
      </c>
      <c r="I25" s="29">
        <v>1000</v>
      </c>
      <c r="J25" s="29">
        <v>2023</v>
      </c>
      <c r="K25" s="30" t="s">
        <v>56</v>
      </c>
      <c r="L25" s="30" t="s">
        <v>57</v>
      </c>
    </row>
    <row r="26" spans="1:12" ht="14.25" customHeight="1" x14ac:dyDescent="0.3">
      <c r="A26" s="29">
        <v>25</v>
      </c>
      <c r="B26" s="30" t="s">
        <v>9</v>
      </c>
      <c r="C26" s="30" t="s">
        <v>14</v>
      </c>
      <c r="D26" s="30" t="s">
        <v>23</v>
      </c>
      <c r="E26" s="31">
        <v>44962</v>
      </c>
      <c r="F26" s="29">
        <v>9</v>
      </c>
      <c r="G26" s="29">
        <v>884</v>
      </c>
      <c r="H26" s="28">
        <v>7956</v>
      </c>
      <c r="I26" s="29">
        <v>1500</v>
      </c>
      <c r="J26" s="29">
        <v>2023</v>
      </c>
      <c r="K26" s="30" t="s">
        <v>59</v>
      </c>
      <c r="L26" s="30" t="s">
        <v>68</v>
      </c>
    </row>
    <row r="27" spans="1:12" ht="14.25" customHeight="1" x14ac:dyDescent="0.3">
      <c r="A27" s="29">
        <v>26</v>
      </c>
      <c r="B27" s="30" t="s">
        <v>9</v>
      </c>
      <c r="C27" s="30" t="s">
        <v>16</v>
      </c>
      <c r="D27" s="30" t="s">
        <v>32</v>
      </c>
      <c r="E27" s="31">
        <v>45208</v>
      </c>
      <c r="F27" s="29">
        <v>3</v>
      </c>
      <c r="G27" s="29">
        <v>371</v>
      </c>
      <c r="H27" s="28">
        <v>1113</v>
      </c>
      <c r="I27" s="29">
        <v>2500</v>
      </c>
      <c r="J27" s="29">
        <v>2023</v>
      </c>
      <c r="K27" s="30" t="s">
        <v>61</v>
      </c>
      <c r="L27" s="30" t="s">
        <v>62</v>
      </c>
    </row>
    <row r="28" spans="1:12" ht="14.25" customHeight="1" x14ac:dyDescent="0.3">
      <c r="A28" s="29">
        <v>27</v>
      </c>
      <c r="B28" s="30" t="s">
        <v>8</v>
      </c>
      <c r="C28" s="30" t="s">
        <v>16</v>
      </c>
      <c r="D28" s="30" t="s">
        <v>32</v>
      </c>
      <c r="E28" s="31">
        <v>45292</v>
      </c>
      <c r="F28" s="29">
        <v>5</v>
      </c>
      <c r="G28" s="29">
        <v>508</v>
      </c>
      <c r="H28" s="28">
        <v>2540</v>
      </c>
      <c r="I28" s="29">
        <v>2000</v>
      </c>
      <c r="J28" s="29">
        <v>2024</v>
      </c>
      <c r="K28" s="30" t="s">
        <v>73</v>
      </c>
      <c r="L28" s="30" t="s">
        <v>60</v>
      </c>
    </row>
    <row r="29" spans="1:12" ht="14.25" customHeight="1" x14ac:dyDescent="0.3">
      <c r="A29" s="29">
        <v>28</v>
      </c>
      <c r="B29" s="30" t="s">
        <v>9</v>
      </c>
      <c r="C29" s="30" t="s">
        <v>15</v>
      </c>
      <c r="D29" s="30" t="s">
        <v>22</v>
      </c>
      <c r="E29" s="31">
        <v>44988</v>
      </c>
      <c r="F29" s="29">
        <v>4</v>
      </c>
      <c r="G29" s="29">
        <v>330</v>
      </c>
      <c r="H29" s="28">
        <v>1320</v>
      </c>
      <c r="I29" s="29">
        <v>1000</v>
      </c>
      <c r="J29" s="29">
        <v>2023</v>
      </c>
      <c r="K29" s="30" t="s">
        <v>59</v>
      </c>
      <c r="L29" s="30" t="s">
        <v>69</v>
      </c>
    </row>
    <row r="30" spans="1:12" ht="14.25" customHeight="1" x14ac:dyDescent="0.3">
      <c r="A30" s="29">
        <v>29</v>
      </c>
      <c r="B30" s="30" t="s">
        <v>8</v>
      </c>
      <c r="C30" s="30" t="s">
        <v>13</v>
      </c>
      <c r="D30" s="30" t="s">
        <v>30</v>
      </c>
      <c r="E30" s="31">
        <v>45228</v>
      </c>
      <c r="F30" s="29">
        <v>4</v>
      </c>
      <c r="G30" s="29">
        <v>107</v>
      </c>
      <c r="H30" s="28">
        <v>428</v>
      </c>
      <c r="I30" s="29">
        <v>1000</v>
      </c>
      <c r="J30" s="29">
        <v>2023</v>
      </c>
      <c r="K30" s="30" t="s">
        <v>61</v>
      </c>
      <c r="L30" s="30" t="s">
        <v>62</v>
      </c>
    </row>
    <row r="31" spans="1:12" ht="14.25" customHeight="1" x14ac:dyDescent="0.3">
      <c r="A31" s="29">
        <v>30</v>
      </c>
      <c r="B31" s="30" t="s">
        <v>7</v>
      </c>
      <c r="C31" s="30" t="s">
        <v>14</v>
      </c>
      <c r="D31" s="30" t="s">
        <v>26</v>
      </c>
      <c r="E31" s="31">
        <v>44943</v>
      </c>
      <c r="F31" s="29">
        <v>6</v>
      </c>
      <c r="G31" s="29">
        <v>172</v>
      </c>
      <c r="H31" s="28">
        <v>1032</v>
      </c>
      <c r="I31" s="29">
        <v>1500</v>
      </c>
      <c r="J31" s="29">
        <v>2023</v>
      </c>
      <c r="K31" s="30" t="s">
        <v>59</v>
      </c>
      <c r="L31" s="30" t="s">
        <v>60</v>
      </c>
    </row>
    <row r="32" spans="1:12" ht="14.25" customHeight="1" x14ac:dyDescent="0.3">
      <c r="A32" s="29">
        <v>31</v>
      </c>
      <c r="B32" s="30" t="s">
        <v>9</v>
      </c>
      <c r="C32" s="30" t="s">
        <v>13</v>
      </c>
      <c r="D32" s="30" t="s">
        <v>25</v>
      </c>
      <c r="E32" s="31">
        <v>45036</v>
      </c>
      <c r="F32" s="29">
        <v>9</v>
      </c>
      <c r="G32" s="29">
        <v>235</v>
      </c>
      <c r="H32" s="28">
        <v>2115</v>
      </c>
      <c r="I32" s="29">
        <v>2500</v>
      </c>
      <c r="J32" s="29">
        <v>2023</v>
      </c>
      <c r="K32" s="30" t="s">
        <v>56</v>
      </c>
      <c r="L32" s="30" t="s">
        <v>63</v>
      </c>
    </row>
    <row r="33" spans="1:12" ht="14.25" customHeight="1" x14ac:dyDescent="0.3">
      <c r="A33" s="29">
        <v>32</v>
      </c>
      <c r="B33" s="30" t="s">
        <v>9</v>
      </c>
      <c r="C33" s="30" t="s">
        <v>16</v>
      </c>
      <c r="D33" s="30" t="s">
        <v>33</v>
      </c>
      <c r="E33" s="31">
        <v>45024</v>
      </c>
      <c r="F33" s="29">
        <v>2</v>
      </c>
      <c r="G33" s="29">
        <v>199</v>
      </c>
      <c r="H33" s="28">
        <v>398</v>
      </c>
      <c r="I33" s="29">
        <v>2500</v>
      </c>
      <c r="J33" s="29">
        <v>2023</v>
      </c>
      <c r="K33" s="30" t="s">
        <v>56</v>
      </c>
      <c r="L33" s="30" t="s">
        <v>63</v>
      </c>
    </row>
    <row r="34" spans="1:12" ht="14.25" customHeight="1" x14ac:dyDescent="0.3">
      <c r="A34" s="29">
        <v>33</v>
      </c>
      <c r="B34" s="30" t="s">
        <v>9</v>
      </c>
      <c r="C34" s="30" t="s">
        <v>13</v>
      </c>
      <c r="D34" s="30" t="s">
        <v>28</v>
      </c>
      <c r="E34" s="31">
        <v>45166</v>
      </c>
      <c r="F34" s="29">
        <v>1</v>
      </c>
      <c r="G34" s="29">
        <v>789</v>
      </c>
      <c r="H34" s="28">
        <v>789</v>
      </c>
      <c r="I34" s="29">
        <v>1000</v>
      </c>
      <c r="J34" s="29">
        <v>2023</v>
      </c>
      <c r="K34" s="30" t="s">
        <v>65</v>
      </c>
      <c r="L34" s="30" t="s">
        <v>70</v>
      </c>
    </row>
    <row r="35" spans="1:12" ht="14.25" customHeight="1" x14ac:dyDescent="0.3">
      <c r="A35" s="29">
        <v>34</v>
      </c>
      <c r="B35" s="30" t="s">
        <v>6</v>
      </c>
      <c r="C35" s="30" t="s">
        <v>14</v>
      </c>
      <c r="D35" s="30" t="s">
        <v>31</v>
      </c>
      <c r="E35" s="31">
        <v>44982</v>
      </c>
      <c r="F35" s="29">
        <v>4</v>
      </c>
      <c r="G35" s="29">
        <v>296</v>
      </c>
      <c r="H35" s="28">
        <v>1184</v>
      </c>
      <c r="I35" s="29">
        <v>1500</v>
      </c>
      <c r="J35" s="29">
        <v>2023</v>
      </c>
      <c r="K35" s="30" t="s">
        <v>59</v>
      </c>
      <c r="L35" s="30" t="s">
        <v>68</v>
      </c>
    </row>
    <row r="36" spans="1:12" ht="14.25" customHeight="1" x14ac:dyDescent="0.3">
      <c r="A36" s="29">
        <v>35</v>
      </c>
      <c r="B36" s="30" t="s">
        <v>8</v>
      </c>
      <c r="C36" s="30" t="s">
        <v>12</v>
      </c>
      <c r="D36" s="30" t="s">
        <v>29</v>
      </c>
      <c r="E36" s="31">
        <v>45143</v>
      </c>
      <c r="F36" s="29">
        <v>3</v>
      </c>
      <c r="G36" s="29">
        <v>385</v>
      </c>
      <c r="H36" s="28">
        <v>1155</v>
      </c>
      <c r="I36" s="29">
        <v>2500</v>
      </c>
      <c r="J36" s="29">
        <v>2023</v>
      </c>
      <c r="K36" s="30" t="s">
        <v>65</v>
      </c>
      <c r="L36" s="30" t="s">
        <v>70</v>
      </c>
    </row>
    <row r="37" spans="1:12" ht="14.25" customHeight="1" x14ac:dyDescent="0.3">
      <c r="A37" s="29">
        <v>36</v>
      </c>
      <c r="B37" s="30" t="s">
        <v>9</v>
      </c>
      <c r="C37" s="30" t="s">
        <v>16</v>
      </c>
      <c r="D37" s="30" t="s">
        <v>20</v>
      </c>
      <c r="E37" s="31">
        <v>45208</v>
      </c>
      <c r="F37" s="29">
        <v>2</v>
      </c>
      <c r="G37" s="29">
        <v>151</v>
      </c>
      <c r="H37" s="28">
        <v>302</v>
      </c>
      <c r="I37" s="29">
        <v>1000</v>
      </c>
      <c r="J37" s="29">
        <v>2023</v>
      </c>
      <c r="K37" s="30" t="s">
        <v>61</v>
      </c>
      <c r="L37" s="30" t="s">
        <v>62</v>
      </c>
    </row>
    <row r="38" spans="1:12" ht="14.25" customHeight="1" x14ac:dyDescent="0.3">
      <c r="A38" s="29">
        <v>37</v>
      </c>
      <c r="B38" s="30" t="s">
        <v>8</v>
      </c>
      <c r="C38" s="30" t="s">
        <v>14</v>
      </c>
      <c r="D38" s="30" t="s">
        <v>26</v>
      </c>
      <c r="E38" s="31">
        <v>45135</v>
      </c>
      <c r="F38" s="29">
        <v>8</v>
      </c>
      <c r="G38" s="29">
        <v>592</v>
      </c>
      <c r="H38" s="28">
        <v>4736</v>
      </c>
      <c r="I38" s="29">
        <v>1500</v>
      </c>
      <c r="J38" s="29">
        <v>2023</v>
      </c>
      <c r="K38" s="30" t="s">
        <v>65</v>
      </c>
      <c r="L38" s="30" t="s">
        <v>66</v>
      </c>
    </row>
    <row r="39" spans="1:12" ht="14.25" customHeight="1" x14ac:dyDescent="0.3">
      <c r="A39" s="29">
        <v>38</v>
      </c>
      <c r="B39" s="30" t="s">
        <v>8</v>
      </c>
      <c r="C39" s="30" t="s">
        <v>15</v>
      </c>
      <c r="D39" s="30" t="s">
        <v>19</v>
      </c>
      <c r="E39" s="31">
        <v>45121</v>
      </c>
      <c r="F39" s="29">
        <v>1</v>
      </c>
      <c r="G39" s="29">
        <v>499</v>
      </c>
      <c r="H39" s="28">
        <v>499</v>
      </c>
      <c r="I39" s="29">
        <v>2000</v>
      </c>
      <c r="J39" s="29">
        <v>2023</v>
      </c>
      <c r="K39" s="30" t="s">
        <v>65</v>
      </c>
      <c r="L39" s="30" t="s">
        <v>66</v>
      </c>
    </row>
    <row r="40" spans="1:12" ht="14.25" customHeight="1" x14ac:dyDescent="0.3">
      <c r="A40" s="29">
        <v>39</v>
      </c>
      <c r="B40" s="30" t="s">
        <v>9</v>
      </c>
      <c r="C40" s="30" t="s">
        <v>15</v>
      </c>
      <c r="D40" s="30" t="s">
        <v>27</v>
      </c>
      <c r="E40" s="31">
        <v>45283</v>
      </c>
      <c r="F40" s="29">
        <v>9</v>
      </c>
      <c r="G40" s="29">
        <v>777</v>
      </c>
      <c r="H40" s="28">
        <v>6993</v>
      </c>
      <c r="I40" s="29">
        <v>2500</v>
      </c>
      <c r="J40" s="29">
        <v>2023</v>
      </c>
      <c r="K40" s="30" t="s">
        <v>61</v>
      </c>
      <c r="L40" s="30" t="s">
        <v>67</v>
      </c>
    </row>
    <row r="41" spans="1:12" ht="14.25" customHeight="1" x14ac:dyDescent="0.3">
      <c r="A41" s="29">
        <v>40</v>
      </c>
      <c r="B41" s="30" t="s">
        <v>6</v>
      </c>
      <c r="C41" s="30" t="s">
        <v>16</v>
      </c>
      <c r="D41" s="30" t="s">
        <v>20</v>
      </c>
      <c r="E41" s="31">
        <v>45038</v>
      </c>
      <c r="F41" s="29">
        <v>1</v>
      </c>
      <c r="G41" s="29">
        <v>693</v>
      </c>
      <c r="H41" s="28">
        <v>693</v>
      </c>
      <c r="I41" s="29">
        <v>1000</v>
      </c>
      <c r="J41" s="29">
        <v>2023</v>
      </c>
      <c r="K41" s="30" t="s">
        <v>56</v>
      </c>
      <c r="L41" s="30" t="s">
        <v>63</v>
      </c>
    </row>
    <row r="42" spans="1:12" ht="14.25" customHeight="1" x14ac:dyDescent="0.3">
      <c r="A42" s="29">
        <v>41</v>
      </c>
      <c r="B42" s="30" t="s">
        <v>7</v>
      </c>
      <c r="C42" s="30" t="s">
        <v>13</v>
      </c>
      <c r="D42" s="30" t="s">
        <v>30</v>
      </c>
      <c r="E42" s="31">
        <v>45226</v>
      </c>
      <c r="F42" s="29">
        <v>8</v>
      </c>
      <c r="G42" s="29">
        <v>614</v>
      </c>
      <c r="H42" s="28">
        <v>4912</v>
      </c>
      <c r="I42" s="29">
        <v>1500</v>
      </c>
      <c r="J42" s="29">
        <v>2023</v>
      </c>
      <c r="K42" s="30" t="s">
        <v>61</v>
      </c>
      <c r="L42" s="30" t="s">
        <v>62</v>
      </c>
    </row>
    <row r="43" spans="1:12" ht="14.25" customHeight="1" x14ac:dyDescent="0.3">
      <c r="A43" s="29">
        <v>42</v>
      </c>
      <c r="B43" s="30" t="s">
        <v>7</v>
      </c>
      <c r="C43" s="30" t="s">
        <v>14</v>
      </c>
      <c r="D43" s="30" t="s">
        <v>23</v>
      </c>
      <c r="E43" s="31">
        <v>45022</v>
      </c>
      <c r="F43" s="29">
        <v>2</v>
      </c>
      <c r="G43" s="29">
        <v>709</v>
      </c>
      <c r="H43" s="28">
        <v>1418</v>
      </c>
      <c r="I43" s="29">
        <v>1000</v>
      </c>
      <c r="J43" s="29">
        <v>2023</v>
      </c>
      <c r="K43" s="30" t="s">
        <v>56</v>
      </c>
      <c r="L43" s="30" t="s">
        <v>63</v>
      </c>
    </row>
    <row r="44" spans="1:12" ht="14.25" customHeight="1" x14ac:dyDescent="0.3">
      <c r="A44" s="29">
        <v>43</v>
      </c>
      <c r="B44" s="30" t="s">
        <v>7</v>
      </c>
      <c r="C44" s="30" t="s">
        <v>16</v>
      </c>
      <c r="D44" s="30" t="s">
        <v>33</v>
      </c>
      <c r="E44" s="31">
        <v>45218</v>
      </c>
      <c r="F44" s="29">
        <v>4</v>
      </c>
      <c r="G44" s="29">
        <v>692</v>
      </c>
      <c r="H44" s="28">
        <v>2768</v>
      </c>
      <c r="I44" s="29">
        <v>1000</v>
      </c>
      <c r="J44" s="29">
        <v>2023</v>
      </c>
      <c r="K44" s="30" t="s">
        <v>61</v>
      </c>
      <c r="L44" s="30" t="s">
        <v>62</v>
      </c>
    </row>
    <row r="45" spans="1:12" ht="14.25" customHeight="1" x14ac:dyDescent="0.3">
      <c r="A45" s="29">
        <v>44</v>
      </c>
      <c r="B45" s="30" t="s">
        <v>9</v>
      </c>
      <c r="C45" s="30" t="s">
        <v>12</v>
      </c>
      <c r="D45" s="30" t="s">
        <v>21</v>
      </c>
      <c r="E45" s="31">
        <v>45263</v>
      </c>
      <c r="F45" s="29">
        <v>10</v>
      </c>
      <c r="G45" s="29">
        <v>678</v>
      </c>
      <c r="H45" s="28">
        <v>6780</v>
      </c>
      <c r="I45" s="29">
        <v>2000</v>
      </c>
      <c r="J45" s="29">
        <v>2023</v>
      </c>
      <c r="K45" s="30" t="s">
        <v>61</v>
      </c>
      <c r="L45" s="30" t="s">
        <v>67</v>
      </c>
    </row>
    <row r="46" spans="1:12" ht="14.25" customHeight="1" x14ac:dyDescent="0.3">
      <c r="A46" s="29">
        <v>45</v>
      </c>
      <c r="B46" s="30" t="s">
        <v>6</v>
      </c>
      <c r="C46" s="30" t="s">
        <v>13</v>
      </c>
      <c r="D46" s="30" t="s">
        <v>30</v>
      </c>
      <c r="E46" s="31">
        <v>45049</v>
      </c>
      <c r="F46" s="29">
        <v>5</v>
      </c>
      <c r="G46" s="29">
        <v>505</v>
      </c>
      <c r="H46" s="28">
        <v>2525</v>
      </c>
      <c r="I46" s="29">
        <v>1500</v>
      </c>
      <c r="J46" s="29">
        <v>2023</v>
      </c>
      <c r="K46" s="30" t="s">
        <v>56</v>
      </c>
      <c r="L46" s="30" t="s">
        <v>57</v>
      </c>
    </row>
    <row r="47" spans="1:12" ht="14.25" customHeight="1" x14ac:dyDescent="0.3">
      <c r="A47" s="29">
        <v>46</v>
      </c>
      <c r="B47" s="30" t="s">
        <v>6</v>
      </c>
      <c r="C47" s="30" t="s">
        <v>13</v>
      </c>
      <c r="D47" s="30" t="s">
        <v>28</v>
      </c>
      <c r="E47" s="31">
        <v>44964</v>
      </c>
      <c r="F47" s="29">
        <v>1</v>
      </c>
      <c r="G47" s="29">
        <v>569</v>
      </c>
      <c r="H47" s="28">
        <v>569</v>
      </c>
      <c r="I47" s="29">
        <v>1000</v>
      </c>
      <c r="J47" s="29">
        <v>2023</v>
      </c>
      <c r="K47" s="30" t="s">
        <v>59</v>
      </c>
      <c r="L47" s="30" t="s">
        <v>68</v>
      </c>
    </row>
    <row r="48" spans="1:12" ht="14.25" customHeight="1" x14ac:dyDescent="0.3">
      <c r="A48" s="29">
        <v>47</v>
      </c>
      <c r="B48" s="30" t="s">
        <v>8</v>
      </c>
      <c r="C48" s="30" t="s">
        <v>14</v>
      </c>
      <c r="D48" s="30" t="s">
        <v>23</v>
      </c>
      <c r="E48" s="31">
        <v>45186</v>
      </c>
      <c r="F48" s="29">
        <v>5</v>
      </c>
      <c r="G48" s="29">
        <v>235</v>
      </c>
      <c r="H48" s="28">
        <v>1175</v>
      </c>
      <c r="I48" s="29">
        <v>2000</v>
      </c>
      <c r="J48" s="29">
        <v>2023</v>
      </c>
      <c r="K48" s="30" t="s">
        <v>65</v>
      </c>
      <c r="L48" s="30" t="s">
        <v>71</v>
      </c>
    </row>
    <row r="49" spans="1:12" ht="14.25" customHeight="1" x14ac:dyDescent="0.3">
      <c r="A49" s="29">
        <v>48</v>
      </c>
      <c r="B49" s="30" t="s">
        <v>6</v>
      </c>
      <c r="C49" s="30" t="s">
        <v>14</v>
      </c>
      <c r="D49" s="30" t="s">
        <v>26</v>
      </c>
      <c r="E49" s="31">
        <v>45072</v>
      </c>
      <c r="F49" s="29">
        <v>3</v>
      </c>
      <c r="G49" s="29">
        <v>548</v>
      </c>
      <c r="H49" s="28">
        <v>1644</v>
      </c>
      <c r="I49" s="29">
        <v>2000</v>
      </c>
      <c r="J49" s="29">
        <v>2023</v>
      </c>
      <c r="K49" s="30" t="s">
        <v>56</v>
      </c>
      <c r="L49" s="30" t="s">
        <v>57</v>
      </c>
    </row>
    <row r="50" spans="1:12" ht="14.25" customHeight="1" x14ac:dyDescent="0.3">
      <c r="A50" s="29">
        <v>49</v>
      </c>
      <c r="B50" s="30" t="s">
        <v>7</v>
      </c>
      <c r="C50" s="30" t="s">
        <v>12</v>
      </c>
      <c r="D50" s="30" t="s">
        <v>24</v>
      </c>
      <c r="E50" s="31">
        <v>45268</v>
      </c>
      <c r="F50" s="29">
        <v>9</v>
      </c>
      <c r="G50" s="29">
        <v>406</v>
      </c>
      <c r="H50" s="28">
        <v>3654</v>
      </c>
      <c r="I50" s="29">
        <v>1000</v>
      </c>
      <c r="J50" s="29">
        <v>2023</v>
      </c>
      <c r="K50" s="30" t="s">
        <v>61</v>
      </c>
      <c r="L50" s="30" t="s">
        <v>67</v>
      </c>
    </row>
    <row r="51" spans="1:12" ht="14.25" customHeight="1" x14ac:dyDescent="0.3">
      <c r="A51" s="29">
        <v>50</v>
      </c>
      <c r="B51" s="30" t="s">
        <v>7</v>
      </c>
      <c r="C51" s="30" t="s">
        <v>16</v>
      </c>
      <c r="D51" s="30" t="s">
        <v>33</v>
      </c>
      <c r="E51" s="31">
        <v>44981</v>
      </c>
      <c r="F51" s="29">
        <v>9</v>
      </c>
      <c r="G51" s="29">
        <v>259</v>
      </c>
      <c r="H51" s="28">
        <v>2331</v>
      </c>
      <c r="I51" s="29">
        <v>2000</v>
      </c>
      <c r="J51" s="29">
        <v>2023</v>
      </c>
      <c r="K51" s="30" t="s">
        <v>59</v>
      </c>
      <c r="L51" s="30" t="s">
        <v>68</v>
      </c>
    </row>
    <row r="52" spans="1:12" ht="14.25" customHeight="1" x14ac:dyDescent="0.3">
      <c r="A52" s="29">
        <v>51</v>
      </c>
      <c r="B52" s="30" t="s">
        <v>8</v>
      </c>
      <c r="C52" s="30" t="s">
        <v>13</v>
      </c>
      <c r="D52" s="30" t="s">
        <v>25</v>
      </c>
      <c r="E52" s="31">
        <v>45102</v>
      </c>
      <c r="F52" s="29">
        <v>4</v>
      </c>
      <c r="G52" s="29">
        <v>803</v>
      </c>
      <c r="H52" s="28">
        <v>3212</v>
      </c>
      <c r="I52" s="29">
        <v>2000</v>
      </c>
      <c r="J52" s="29">
        <v>2023</v>
      </c>
      <c r="K52" s="30" t="s">
        <v>56</v>
      </c>
      <c r="L52" s="30" t="s">
        <v>64</v>
      </c>
    </row>
    <row r="53" spans="1:12" ht="14.25" customHeight="1" x14ac:dyDescent="0.3">
      <c r="A53" s="29">
        <v>52</v>
      </c>
      <c r="B53" s="30" t="s">
        <v>6</v>
      </c>
      <c r="C53" s="30" t="s">
        <v>12</v>
      </c>
      <c r="D53" s="30" t="s">
        <v>29</v>
      </c>
      <c r="E53" s="31">
        <v>44953</v>
      </c>
      <c r="F53" s="29">
        <v>2</v>
      </c>
      <c r="G53" s="29">
        <v>749</v>
      </c>
      <c r="H53" s="28">
        <v>1498</v>
      </c>
      <c r="I53" s="29">
        <v>2500</v>
      </c>
      <c r="J53" s="29">
        <v>2023</v>
      </c>
      <c r="K53" s="30" t="s">
        <v>59</v>
      </c>
      <c r="L53" s="30" t="s">
        <v>60</v>
      </c>
    </row>
    <row r="54" spans="1:12" ht="14.25" customHeight="1" x14ac:dyDescent="0.3">
      <c r="A54" s="29">
        <v>53</v>
      </c>
      <c r="B54" s="30" t="s">
        <v>7</v>
      </c>
      <c r="C54" s="30" t="s">
        <v>13</v>
      </c>
      <c r="D54" s="30" t="s">
        <v>30</v>
      </c>
      <c r="E54" s="31">
        <v>45097</v>
      </c>
      <c r="F54" s="29">
        <v>3</v>
      </c>
      <c r="G54" s="29">
        <v>752</v>
      </c>
      <c r="H54" s="28">
        <v>2256</v>
      </c>
      <c r="I54" s="29">
        <v>2000</v>
      </c>
      <c r="J54" s="29">
        <v>2023</v>
      </c>
      <c r="K54" s="30" t="s">
        <v>56</v>
      </c>
      <c r="L54" s="30" t="s">
        <v>64</v>
      </c>
    </row>
    <row r="55" spans="1:12" ht="14.25" customHeight="1" x14ac:dyDescent="0.3">
      <c r="A55" s="29">
        <v>54</v>
      </c>
      <c r="B55" s="30" t="s">
        <v>9</v>
      </c>
      <c r="C55" s="30" t="s">
        <v>16</v>
      </c>
      <c r="D55" s="30" t="s">
        <v>32</v>
      </c>
      <c r="E55" s="31">
        <v>45209</v>
      </c>
      <c r="F55" s="29">
        <v>7</v>
      </c>
      <c r="G55" s="29">
        <v>674</v>
      </c>
      <c r="H55" s="28">
        <v>4718</v>
      </c>
      <c r="I55" s="29">
        <v>1000</v>
      </c>
      <c r="J55" s="29">
        <v>2023</v>
      </c>
      <c r="K55" s="30" t="s">
        <v>61</v>
      </c>
      <c r="L55" s="30" t="s">
        <v>62</v>
      </c>
    </row>
    <row r="56" spans="1:12" ht="14.25" customHeight="1" x14ac:dyDescent="0.3">
      <c r="A56" s="29">
        <v>55</v>
      </c>
      <c r="B56" s="30" t="s">
        <v>8</v>
      </c>
      <c r="C56" s="30" t="s">
        <v>14</v>
      </c>
      <c r="D56" s="30" t="s">
        <v>26</v>
      </c>
      <c r="E56" s="31">
        <v>45206</v>
      </c>
      <c r="F56" s="29">
        <v>1</v>
      </c>
      <c r="G56" s="29">
        <v>954</v>
      </c>
      <c r="H56" s="28">
        <v>954</v>
      </c>
      <c r="I56" s="29">
        <v>2000</v>
      </c>
      <c r="J56" s="29">
        <v>2023</v>
      </c>
      <c r="K56" s="30" t="s">
        <v>61</v>
      </c>
      <c r="L56" s="30" t="s">
        <v>62</v>
      </c>
    </row>
    <row r="57" spans="1:12" ht="14.25" customHeight="1" x14ac:dyDescent="0.3">
      <c r="A57" s="29">
        <v>56</v>
      </c>
      <c r="B57" s="30" t="s">
        <v>8</v>
      </c>
      <c r="C57" s="30" t="s">
        <v>12</v>
      </c>
      <c r="D57" s="30" t="s">
        <v>24</v>
      </c>
      <c r="E57" s="31">
        <v>45147</v>
      </c>
      <c r="F57" s="29">
        <v>3</v>
      </c>
      <c r="G57" s="29">
        <v>142</v>
      </c>
      <c r="H57" s="28">
        <v>426</v>
      </c>
      <c r="I57" s="29">
        <v>2000</v>
      </c>
      <c r="J57" s="29">
        <v>2023</v>
      </c>
      <c r="K57" s="30" t="s">
        <v>65</v>
      </c>
      <c r="L57" s="30" t="s">
        <v>70</v>
      </c>
    </row>
    <row r="58" spans="1:12" ht="14.25" customHeight="1" x14ac:dyDescent="0.3">
      <c r="A58" s="29">
        <v>57</v>
      </c>
      <c r="B58" s="30" t="s">
        <v>6</v>
      </c>
      <c r="C58" s="30" t="s">
        <v>13</v>
      </c>
      <c r="D58" s="30" t="s">
        <v>30</v>
      </c>
      <c r="E58" s="31">
        <v>45034</v>
      </c>
      <c r="F58" s="29">
        <v>4</v>
      </c>
      <c r="G58" s="29">
        <v>782</v>
      </c>
      <c r="H58" s="28">
        <v>3128</v>
      </c>
      <c r="I58" s="29">
        <v>1000</v>
      </c>
      <c r="J58" s="29">
        <v>2023</v>
      </c>
      <c r="K58" s="30" t="s">
        <v>56</v>
      </c>
      <c r="L58" s="30" t="s">
        <v>63</v>
      </c>
    </row>
    <row r="59" spans="1:12" ht="14.25" customHeight="1" x14ac:dyDescent="0.3">
      <c r="A59" s="29">
        <v>58</v>
      </c>
      <c r="B59" s="30" t="s">
        <v>9</v>
      </c>
      <c r="C59" s="30" t="s">
        <v>13</v>
      </c>
      <c r="D59" s="30" t="s">
        <v>25</v>
      </c>
      <c r="E59" s="31">
        <v>45244</v>
      </c>
      <c r="F59" s="29">
        <v>3</v>
      </c>
      <c r="G59" s="29">
        <v>342</v>
      </c>
      <c r="H59" s="28">
        <v>1026</v>
      </c>
      <c r="I59" s="29">
        <v>1500</v>
      </c>
      <c r="J59" s="29">
        <v>2023</v>
      </c>
      <c r="K59" s="30" t="s">
        <v>61</v>
      </c>
      <c r="L59" s="30" t="s">
        <v>72</v>
      </c>
    </row>
    <row r="60" spans="1:12" ht="14.25" customHeight="1" x14ac:dyDescent="0.3">
      <c r="A60" s="29">
        <v>59</v>
      </c>
      <c r="B60" s="30" t="s">
        <v>7</v>
      </c>
      <c r="C60" s="30" t="s">
        <v>16</v>
      </c>
      <c r="D60" s="30" t="s">
        <v>33</v>
      </c>
      <c r="E60" s="31">
        <v>45018</v>
      </c>
      <c r="F60" s="29">
        <v>6</v>
      </c>
      <c r="G60" s="29">
        <v>901</v>
      </c>
      <c r="H60" s="28">
        <v>5406</v>
      </c>
      <c r="I60" s="29">
        <v>2500</v>
      </c>
      <c r="J60" s="29">
        <v>2023</v>
      </c>
      <c r="K60" s="30" t="s">
        <v>56</v>
      </c>
      <c r="L60" s="30" t="s">
        <v>63</v>
      </c>
    </row>
    <row r="61" spans="1:12" ht="14.25" customHeight="1" x14ac:dyDescent="0.3">
      <c r="A61" s="29">
        <v>60</v>
      </c>
      <c r="B61" s="30" t="s">
        <v>8</v>
      </c>
      <c r="C61" s="30" t="s">
        <v>16</v>
      </c>
      <c r="D61" s="30" t="s">
        <v>33</v>
      </c>
      <c r="E61" s="31">
        <v>45286</v>
      </c>
      <c r="F61" s="29">
        <v>2</v>
      </c>
      <c r="G61" s="29">
        <v>491</v>
      </c>
      <c r="H61" s="28">
        <v>982</v>
      </c>
      <c r="I61" s="29">
        <v>1000</v>
      </c>
      <c r="J61" s="29">
        <v>2023</v>
      </c>
      <c r="K61" s="30" t="s">
        <v>61</v>
      </c>
      <c r="L61" s="30" t="s">
        <v>67</v>
      </c>
    </row>
    <row r="62" spans="1:12" ht="14.25" customHeight="1" x14ac:dyDescent="0.3">
      <c r="A62" s="29">
        <v>61</v>
      </c>
      <c r="B62" s="30" t="s">
        <v>8</v>
      </c>
      <c r="C62" s="30" t="s">
        <v>15</v>
      </c>
      <c r="D62" s="30" t="s">
        <v>19</v>
      </c>
      <c r="E62" s="31">
        <v>45162</v>
      </c>
      <c r="F62" s="29">
        <v>6</v>
      </c>
      <c r="G62" s="29">
        <v>412</v>
      </c>
      <c r="H62" s="28">
        <v>2472</v>
      </c>
      <c r="I62" s="29">
        <v>1500</v>
      </c>
      <c r="J62" s="29">
        <v>2023</v>
      </c>
      <c r="K62" s="30" t="s">
        <v>65</v>
      </c>
      <c r="L62" s="30" t="s">
        <v>70</v>
      </c>
    </row>
    <row r="63" spans="1:12" ht="14.25" customHeight="1" x14ac:dyDescent="0.3">
      <c r="A63" s="29">
        <v>62</v>
      </c>
      <c r="B63" s="30" t="s">
        <v>8</v>
      </c>
      <c r="C63" s="30" t="s">
        <v>16</v>
      </c>
      <c r="D63" s="30" t="s">
        <v>20</v>
      </c>
      <c r="E63" s="31">
        <v>45131</v>
      </c>
      <c r="F63" s="29">
        <v>6</v>
      </c>
      <c r="G63" s="29">
        <v>385</v>
      </c>
      <c r="H63" s="28">
        <v>2310</v>
      </c>
      <c r="I63" s="29">
        <v>1000</v>
      </c>
      <c r="J63" s="29">
        <v>2023</v>
      </c>
      <c r="K63" s="30" t="s">
        <v>65</v>
      </c>
      <c r="L63" s="30" t="s">
        <v>66</v>
      </c>
    </row>
    <row r="64" spans="1:12" ht="14.25" customHeight="1" x14ac:dyDescent="0.3">
      <c r="A64" s="29">
        <v>63</v>
      </c>
      <c r="B64" s="30" t="s">
        <v>9</v>
      </c>
      <c r="C64" s="30" t="s">
        <v>13</v>
      </c>
      <c r="D64" s="30" t="s">
        <v>28</v>
      </c>
      <c r="E64" s="31">
        <v>45274</v>
      </c>
      <c r="F64" s="29">
        <v>9</v>
      </c>
      <c r="G64" s="29">
        <v>439</v>
      </c>
      <c r="H64" s="28">
        <v>3951</v>
      </c>
      <c r="I64" s="29">
        <v>1000</v>
      </c>
      <c r="J64" s="29">
        <v>2023</v>
      </c>
      <c r="K64" s="30" t="s">
        <v>61</v>
      </c>
      <c r="L64" s="30" t="s">
        <v>67</v>
      </c>
    </row>
    <row r="65" spans="1:12" ht="14.25" customHeight="1" x14ac:dyDescent="0.3">
      <c r="A65" s="29">
        <v>64</v>
      </c>
      <c r="B65" s="30" t="s">
        <v>8</v>
      </c>
      <c r="C65" s="30" t="s">
        <v>14</v>
      </c>
      <c r="D65" s="30" t="s">
        <v>31</v>
      </c>
      <c r="E65" s="31">
        <v>45224</v>
      </c>
      <c r="F65" s="29">
        <v>5</v>
      </c>
      <c r="G65" s="29">
        <v>139</v>
      </c>
      <c r="H65" s="28">
        <v>695</v>
      </c>
      <c r="I65" s="29">
        <v>1000</v>
      </c>
      <c r="J65" s="29">
        <v>2023</v>
      </c>
      <c r="K65" s="30" t="s">
        <v>61</v>
      </c>
      <c r="L65" s="30" t="s">
        <v>62</v>
      </c>
    </row>
    <row r="66" spans="1:12" ht="14.25" customHeight="1" x14ac:dyDescent="0.3">
      <c r="A66" s="29">
        <v>65</v>
      </c>
      <c r="B66" s="30" t="s">
        <v>6</v>
      </c>
      <c r="C66" s="30" t="s">
        <v>12</v>
      </c>
      <c r="D66" s="30" t="s">
        <v>29</v>
      </c>
      <c r="E66" s="31">
        <v>45087</v>
      </c>
      <c r="F66" s="29">
        <v>7</v>
      </c>
      <c r="G66" s="29">
        <v>720</v>
      </c>
      <c r="H66" s="28">
        <v>5040</v>
      </c>
      <c r="I66" s="29">
        <v>1000</v>
      </c>
      <c r="J66" s="29">
        <v>2023</v>
      </c>
      <c r="K66" s="30" t="s">
        <v>56</v>
      </c>
      <c r="L66" s="30" t="s">
        <v>64</v>
      </c>
    </row>
    <row r="67" spans="1:12" ht="14.25" customHeight="1" x14ac:dyDescent="0.3">
      <c r="A67" s="29">
        <v>66</v>
      </c>
      <c r="B67" s="30" t="s">
        <v>8</v>
      </c>
      <c r="C67" s="30" t="s">
        <v>15</v>
      </c>
      <c r="D67" s="30" t="s">
        <v>22</v>
      </c>
      <c r="E67" s="31">
        <v>45057</v>
      </c>
      <c r="F67" s="29">
        <v>1</v>
      </c>
      <c r="G67" s="29">
        <v>825</v>
      </c>
      <c r="H67" s="28">
        <v>825</v>
      </c>
      <c r="I67" s="29">
        <v>2500</v>
      </c>
      <c r="J67" s="29">
        <v>2023</v>
      </c>
      <c r="K67" s="30" t="s">
        <v>56</v>
      </c>
      <c r="L67" s="30" t="s">
        <v>57</v>
      </c>
    </row>
    <row r="68" spans="1:12" ht="14.25" customHeight="1" x14ac:dyDescent="0.3">
      <c r="A68" s="29">
        <v>67</v>
      </c>
      <c r="B68" s="30" t="s">
        <v>8</v>
      </c>
      <c r="C68" s="30" t="s">
        <v>14</v>
      </c>
      <c r="D68" s="30" t="s">
        <v>23</v>
      </c>
      <c r="E68" s="31">
        <v>45113</v>
      </c>
      <c r="F68" s="29">
        <v>7</v>
      </c>
      <c r="G68" s="29">
        <v>171</v>
      </c>
      <c r="H68" s="28">
        <v>1197</v>
      </c>
      <c r="I68" s="29">
        <v>2000</v>
      </c>
      <c r="J68" s="29">
        <v>2023</v>
      </c>
      <c r="K68" s="30" t="s">
        <v>65</v>
      </c>
      <c r="L68" s="30" t="s">
        <v>66</v>
      </c>
    </row>
    <row r="69" spans="1:12" ht="14.25" customHeight="1" x14ac:dyDescent="0.3">
      <c r="A69" s="29">
        <v>68</v>
      </c>
      <c r="B69" s="30" t="s">
        <v>7</v>
      </c>
      <c r="C69" s="30" t="s">
        <v>12</v>
      </c>
      <c r="D69" s="30" t="s">
        <v>29</v>
      </c>
      <c r="E69" s="31">
        <v>45080</v>
      </c>
      <c r="F69" s="29">
        <v>9</v>
      </c>
      <c r="G69" s="29">
        <v>416</v>
      </c>
      <c r="H69" s="28">
        <v>3744</v>
      </c>
      <c r="I69" s="29">
        <v>2500</v>
      </c>
      <c r="J69" s="29">
        <v>2023</v>
      </c>
      <c r="K69" s="30" t="s">
        <v>56</v>
      </c>
      <c r="L69" s="30" t="s">
        <v>64</v>
      </c>
    </row>
    <row r="70" spans="1:12" ht="14.25" customHeight="1" x14ac:dyDescent="0.3">
      <c r="A70" s="29">
        <v>69</v>
      </c>
      <c r="B70" s="30" t="s">
        <v>6</v>
      </c>
      <c r="C70" s="30" t="s">
        <v>13</v>
      </c>
      <c r="D70" s="30" t="s">
        <v>28</v>
      </c>
      <c r="E70" s="31">
        <v>45210</v>
      </c>
      <c r="F70" s="29">
        <v>3</v>
      </c>
      <c r="G70" s="29">
        <v>296</v>
      </c>
      <c r="H70" s="28">
        <v>888</v>
      </c>
      <c r="I70" s="29">
        <v>2500</v>
      </c>
      <c r="J70" s="29">
        <v>2023</v>
      </c>
      <c r="K70" s="30" t="s">
        <v>61</v>
      </c>
      <c r="L70" s="30" t="s">
        <v>62</v>
      </c>
    </row>
    <row r="71" spans="1:12" ht="14.25" customHeight="1" x14ac:dyDescent="0.3">
      <c r="A71" s="29">
        <v>70</v>
      </c>
      <c r="B71" s="30" t="s">
        <v>8</v>
      </c>
      <c r="C71" s="30" t="s">
        <v>15</v>
      </c>
      <c r="D71" s="30" t="s">
        <v>22</v>
      </c>
      <c r="E71" s="31">
        <v>45242</v>
      </c>
      <c r="F71" s="29">
        <v>10</v>
      </c>
      <c r="G71" s="29">
        <v>408</v>
      </c>
      <c r="H71" s="28">
        <v>4080</v>
      </c>
      <c r="I71" s="29">
        <v>2500</v>
      </c>
      <c r="J71" s="29">
        <v>2023</v>
      </c>
      <c r="K71" s="30" t="s">
        <v>61</v>
      </c>
      <c r="L71" s="30" t="s">
        <v>72</v>
      </c>
    </row>
    <row r="72" spans="1:12" ht="14.25" customHeight="1" x14ac:dyDescent="0.3">
      <c r="A72" s="29">
        <v>71</v>
      </c>
      <c r="B72" s="30" t="s">
        <v>6</v>
      </c>
      <c r="C72" s="30" t="s">
        <v>12</v>
      </c>
      <c r="D72" s="30" t="s">
        <v>21</v>
      </c>
      <c r="E72" s="31">
        <v>45073</v>
      </c>
      <c r="F72" s="29">
        <v>4</v>
      </c>
      <c r="G72" s="29">
        <v>540</v>
      </c>
      <c r="H72" s="28">
        <v>2160</v>
      </c>
      <c r="I72" s="29">
        <v>2000</v>
      </c>
      <c r="J72" s="29">
        <v>2023</v>
      </c>
      <c r="K72" s="30" t="s">
        <v>56</v>
      </c>
      <c r="L72" s="30" t="s">
        <v>57</v>
      </c>
    </row>
    <row r="73" spans="1:12" ht="14.25" customHeight="1" x14ac:dyDescent="0.3">
      <c r="A73" s="29">
        <v>72</v>
      </c>
      <c r="B73" s="30" t="s">
        <v>9</v>
      </c>
      <c r="C73" s="30" t="s">
        <v>15</v>
      </c>
      <c r="D73" s="30" t="s">
        <v>27</v>
      </c>
      <c r="E73" s="31">
        <v>45272</v>
      </c>
      <c r="F73" s="29">
        <v>4</v>
      </c>
      <c r="G73" s="29">
        <v>623</v>
      </c>
      <c r="H73" s="28">
        <v>2492</v>
      </c>
      <c r="I73" s="29">
        <v>2500</v>
      </c>
      <c r="J73" s="29">
        <v>2023</v>
      </c>
      <c r="K73" s="30" t="s">
        <v>61</v>
      </c>
      <c r="L73" s="30" t="s">
        <v>67</v>
      </c>
    </row>
    <row r="74" spans="1:12" ht="14.25" customHeight="1" x14ac:dyDescent="0.3">
      <c r="A74" s="29">
        <v>73</v>
      </c>
      <c r="B74" s="30" t="s">
        <v>7</v>
      </c>
      <c r="C74" s="30" t="s">
        <v>16</v>
      </c>
      <c r="D74" s="30" t="s">
        <v>32</v>
      </c>
      <c r="E74" s="31">
        <v>45072</v>
      </c>
      <c r="F74" s="29">
        <v>9</v>
      </c>
      <c r="G74" s="29">
        <v>779</v>
      </c>
      <c r="H74" s="28">
        <v>7011</v>
      </c>
      <c r="I74" s="29">
        <v>2000</v>
      </c>
      <c r="J74" s="29">
        <v>2023</v>
      </c>
      <c r="K74" s="30" t="s">
        <v>56</v>
      </c>
      <c r="L74" s="30" t="s">
        <v>57</v>
      </c>
    </row>
    <row r="75" spans="1:12" ht="14.25" customHeight="1" x14ac:dyDescent="0.3">
      <c r="A75" s="29">
        <v>74</v>
      </c>
      <c r="B75" s="30" t="s">
        <v>6</v>
      </c>
      <c r="C75" s="30" t="s">
        <v>14</v>
      </c>
      <c r="D75" s="30" t="s">
        <v>26</v>
      </c>
      <c r="E75" s="31">
        <v>45042</v>
      </c>
      <c r="F75" s="29">
        <v>4</v>
      </c>
      <c r="G75" s="29">
        <v>250</v>
      </c>
      <c r="H75" s="28">
        <v>1000</v>
      </c>
      <c r="I75" s="29">
        <v>1000</v>
      </c>
      <c r="J75" s="29">
        <v>2023</v>
      </c>
      <c r="K75" s="30" t="s">
        <v>56</v>
      </c>
      <c r="L75" s="30" t="s">
        <v>63</v>
      </c>
    </row>
    <row r="76" spans="1:12" ht="14.25" customHeight="1" x14ac:dyDescent="0.3">
      <c r="A76" s="29">
        <v>75</v>
      </c>
      <c r="B76" s="30" t="s">
        <v>9</v>
      </c>
      <c r="C76" s="30" t="s">
        <v>14</v>
      </c>
      <c r="D76" s="30" t="s">
        <v>26</v>
      </c>
      <c r="E76" s="31">
        <v>45239</v>
      </c>
      <c r="F76" s="29">
        <v>2</v>
      </c>
      <c r="G76" s="29">
        <v>566</v>
      </c>
      <c r="H76" s="28">
        <v>1132</v>
      </c>
      <c r="I76" s="29">
        <v>2500</v>
      </c>
      <c r="J76" s="29">
        <v>2023</v>
      </c>
      <c r="K76" s="30" t="s">
        <v>61</v>
      </c>
      <c r="L76" s="30" t="s">
        <v>72</v>
      </c>
    </row>
    <row r="77" spans="1:12" ht="14.25" customHeight="1" x14ac:dyDescent="0.3">
      <c r="A77" s="29">
        <v>76</v>
      </c>
      <c r="B77" s="30" t="s">
        <v>9</v>
      </c>
      <c r="C77" s="30" t="s">
        <v>12</v>
      </c>
      <c r="D77" s="30" t="s">
        <v>21</v>
      </c>
      <c r="E77" s="31">
        <v>45180</v>
      </c>
      <c r="F77" s="29">
        <v>7</v>
      </c>
      <c r="G77" s="29">
        <v>349</v>
      </c>
      <c r="H77" s="28">
        <v>2443</v>
      </c>
      <c r="I77" s="29">
        <v>1500</v>
      </c>
      <c r="J77" s="29">
        <v>2023</v>
      </c>
      <c r="K77" s="30" t="s">
        <v>65</v>
      </c>
      <c r="L77" s="30" t="s">
        <v>71</v>
      </c>
    </row>
    <row r="78" spans="1:12" ht="14.25" customHeight="1" x14ac:dyDescent="0.3">
      <c r="A78" s="29">
        <v>77</v>
      </c>
      <c r="B78" s="30" t="s">
        <v>9</v>
      </c>
      <c r="C78" s="30" t="s">
        <v>14</v>
      </c>
      <c r="D78" s="30" t="s">
        <v>26</v>
      </c>
      <c r="E78" s="31">
        <v>45039</v>
      </c>
      <c r="F78" s="29">
        <v>3</v>
      </c>
      <c r="G78" s="29">
        <v>923</v>
      </c>
      <c r="H78" s="28">
        <v>2769</v>
      </c>
      <c r="I78" s="29">
        <v>2500</v>
      </c>
      <c r="J78" s="29">
        <v>2023</v>
      </c>
      <c r="K78" s="30" t="s">
        <v>56</v>
      </c>
      <c r="L78" s="30" t="s">
        <v>63</v>
      </c>
    </row>
    <row r="79" spans="1:12" ht="14.25" customHeight="1" x14ac:dyDescent="0.3">
      <c r="A79" s="29">
        <v>78</v>
      </c>
      <c r="B79" s="30" t="s">
        <v>8</v>
      </c>
      <c r="C79" s="30" t="s">
        <v>14</v>
      </c>
      <c r="D79" s="30" t="s">
        <v>23</v>
      </c>
      <c r="E79" s="31">
        <v>44989</v>
      </c>
      <c r="F79" s="29">
        <v>8</v>
      </c>
      <c r="G79" s="29">
        <v>236</v>
      </c>
      <c r="H79" s="28">
        <v>1888</v>
      </c>
      <c r="I79" s="29">
        <v>2500</v>
      </c>
      <c r="J79" s="29">
        <v>2023</v>
      </c>
      <c r="K79" s="30" t="s">
        <v>59</v>
      </c>
      <c r="L79" s="30" t="s">
        <v>69</v>
      </c>
    </row>
    <row r="80" spans="1:12" ht="14.25" customHeight="1" x14ac:dyDescent="0.3">
      <c r="A80" s="29">
        <v>79</v>
      </c>
      <c r="B80" s="30" t="s">
        <v>6</v>
      </c>
      <c r="C80" s="30" t="s">
        <v>12</v>
      </c>
      <c r="D80" s="30" t="s">
        <v>24</v>
      </c>
      <c r="E80" s="31">
        <v>45153</v>
      </c>
      <c r="F80" s="29">
        <v>10</v>
      </c>
      <c r="G80" s="29">
        <v>934</v>
      </c>
      <c r="H80" s="28">
        <v>9340</v>
      </c>
      <c r="I80" s="29">
        <v>2500</v>
      </c>
      <c r="J80" s="29">
        <v>2023</v>
      </c>
      <c r="K80" s="30" t="s">
        <v>65</v>
      </c>
      <c r="L80" s="30" t="s">
        <v>70</v>
      </c>
    </row>
    <row r="81" spans="1:12" ht="14.25" customHeight="1" x14ac:dyDescent="0.3">
      <c r="A81" s="29">
        <v>80</v>
      </c>
      <c r="B81" s="30" t="s">
        <v>8</v>
      </c>
      <c r="C81" s="30" t="s">
        <v>12</v>
      </c>
      <c r="D81" s="30" t="s">
        <v>29</v>
      </c>
      <c r="E81" s="31">
        <v>45170</v>
      </c>
      <c r="F81" s="29">
        <v>8</v>
      </c>
      <c r="G81" s="29">
        <v>365</v>
      </c>
      <c r="H81" s="28">
        <v>2920</v>
      </c>
      <c r="I81" s="29">
        <v>1500</v>
      </c>
      <c r="J81" s="29">
        <v>2023</v>
      </c>
      <c r="K81" s="30" t="s">
        <v>65</v>
      </c>
      <c r="L81" s="30" t="s">
        <v>71</v>
      </c>
    </row>
    <row r="82" spans="1:12" ht="14.25" customHeight="1" x14ac:dyDescent="0.3">
      <c r="A82" s="29">
        <v>81</v>
      </c>
      <c r="B82" s="30" t="s">
        <v>9</v>
      </c>
      <c r="C82" s="30" t="s">
        <v>13</v>
      </c>
      <c r="D82" s="30" t="s">
        <v>25</v>
      </c>
      <c r="E82" s="31">
        <v>45247</v>
      </c>
      <c r="F82" s="29">
        <v>4</v>
      </c>
      <c r="G82" s="29">
        <v>381</v>
      </c>
      <c r="H82" s="28">
        <v>1524</v>
      </c>
      <c r="I82" s="29">
        <v>2500</v>
      </c>
      <c r="J82" s="29">
        <v>2023</v>
      </c>
      <c r="K82" s="30" t="s">
        <v>61</v>
      </c>
      <c r="L82" s="30" t="s">
        <v>72</v>
      </c>
    </row>
    <row r="83" spans="1:12" ht="14.25" customHeight="1" x14ac:dyDescent="0.3">
      <c r="A83" s="29">
        <v>82</v>
      </c>
      <c r="B83" s="30" t="s">
        <v>6</v>
      </c>
      <c r="C83" s="30" t="s">
        <v>14</v>
      </c>
      <c r="D83" s="30" t="s">
        <v>23</v>
      </c>
      <c r="E83" s="31">
        <v>45047</v>
      </c>
      <c r="F83" s="29">
        <v>5</v>
      </c>
      <c r="G83" s="29">
        <v>443</v>
      </c>
      <c r="H83" s="28">
        <v>2215</v>
      </c>
      <c r="I83" s="29">
        <v>2000</v>
      </c>
      <c r="J83" s="29">
        <v>2023</v>
      </c>
      <c r="K83" s="30" t="s">
        <v>56</v>
      </c>
      <c r="L83" s="30" t="s">
        <v>57</v>
      </c>
    </row>
    <row r="84" spans="1:12" ht="14.25" customHeight="1" x14ac:dyDescent="0.3">
      <c r="A84" s="29">
        <v>83</v>
      </c>
      <c r="B84" s="30" t="s">
        <v>8</v>
      </c>
      <c r="C84" s="30" t="s">
        <v>12</v>
      </c>
      <c r="D84" s="30" t="s">
        <v>21</v>
      </c>
      <c r="E84" s="31">
        <v>45004</v>
      </c>
      <c r="F84" s="29">
        <v>4</v>
      </c>
      <c r="G84" s="29">
        <v>492</v>
      </c>
      <c r="H84" s="28">
        <v>1968</v>
      </c>
      <c r="I84" s="29">
        <v>1500</v>
      </c>
      <c r="J84" s="29">
        <v>2023</v>
      </c>
      <c r="K84" s="30" t="s">
        <v>59</v>
      </c>
      <c r="L84" s="30" t="s">
        <v>69</v>
      </c>
    </row>
    <row r="85" spans="1:12" ht="14.25" customHeight="1" x14ac:dyDescent="0.3">
      <c r="A85" s="29">
        <v>84</v>
      </c>
      <c r="B85" s="30" t="s">
        <v>9</v>
      </c>
      <c r="C85" s="30" t="s">
        <v>16</v>
      </c>
      <c r="D85" s="30" t="s">
        <v>20</v>
      </c>
      <c r="E85" s="31">
        <v>45135</v>
      </c>
      <c r="F85" s="29">
        <v>6</v>
      </c>
      <c r="G85" s="29">
        <v>655</v>
      </c>
      <c r="H85" s="28">
        <v>3930</v>
      </c>
      <c r="I85" s="29">
        <v>2500</v>
      </c>
      <c r="J85" s="29">
        <v>2023</v>
      </c>
      <c r="K85" s="30" t="s">
        <v>65</v>
      </c>
      <c r="L85" s="30" t="s">
        <v>66</v>
      </c>
    </row>
    <row r="86" spans="1:12" ht="14.25" customHeight="1" x14ac:dyDescent="0.3">
      <c r="A86" s="29">
        <v>85</v>
      </c>
      <c r="B86" s="30" t="s">
        <v>8</v>
      </c>
      <c r="C86" s="30" t="s">
        <v>15</v>
      </c>
      <c r="D86" s="30" t="s">
        <v>19</v>
      </c>
      <c r="E86" s="31">
        <v>45142</v>
      </c>
      <c r="F86" s="29">
        <v>7</v>
      </c>
      <c r="G86" s="29">
        <v>888</v>
      </c>
      <c r="H86" s="28">
        <v>6216</v>
      </c>
      <c r="I86" s="29">
        <v>1000</v>
      </c>
      <c r="J86" s="29">
        <v>2023</v>
      </c>
      <c r="K86" s="30" t="s">
        <v>65</v>
      </c>
      <c r="L86" s="30" t="s">
        <v>70</v>
      </c>
    </row>
    <row r="87" spans="1:12" ht="14.25" customHeight="1" x14ac:dyDescent="0.3">
      <c r="A87" s="29">
        <v>86</v>
      </c>
      <c r="B87" s="30" t="s">
        <v>9</v>
      </c>
      <c r="C87" s="30" t="s">
        <v>12</v>
      </c>
      <c r="D87" s="30" t="s">
        <v>29</v>
      </c>
      <c r="E87" s="31">
        <v>44930</v>
      </c>
      <c r="F87" s="29">
        <v>6</v>
      </c>
      <c r="G87" s="29">
        <v>405</v>
      </c>
      <c r="H87" s="28">
        <v>2430</v>
      </c>
      <c r="I87" s="29">
        <v>2500</v>
      </c>
      <c r="J87" s="29">
        <v>2023</v>
      </c>
      <c r="K87" s="30" t="s">
        <v>59</v>
      </c>
      <c r="L87" s="30" t="s">
        <v>60</v>
      </c>
    </row>
    <row r="88" spans="1:12" ht="14.25" customHeight="1" x14ac:dyDescent="0.3">
      <c r="A88" s="29">
        <v>87</v>
      </c>
      <c r="B88" s="30" t="s">
        <v>8</v>
      </c>
      <c r="C88" s="30" t="s">
        <v>15</v>
      </c>
      <c r="D88" s="30" t="s">
        <v>22</v>
      </c>
      <c r="E88" s="31">
        <v>45176</v>
      </c>
      <c r="F88" s="29">
        <v>4</v>
      </c>
      <c r="G88" s="29">
        <v>379</v>
      </c>
      <c r="H88" s="28">
        <v>1516</v>
      </c>
      <c r="I88" s="29">
        <v>2500</v>
      </c>
      <c r="J88" s="29">
        <v>2023</v>
      </c>
      <c r="K88" s="30" t="s">
        <v>65</v>
      </c>
      <c r="L88" s="30" t="s">
        <v>71</v>
      </c>
    </row>
    <row r="89" spans="1:12" ht="14.25" customHeight="1" x14ac:dyDescent="0.3">
      <c r="A89" s="29">
        <v>88</v>
      </c>
      <c r="B89" s="30" t="s">
        <v>9</v>
      </c>
      <c r="C89" s="30" t="s">
        <v>15</v>
      </c>
      <c r="D89" s="30" t="s">
        <v>19</v>
      </c>
      <c r="E89" s="31">
        <v>45099</v>
      </c>
      <c r="F89" s="29">
        <v>7</v>
      </c>
      <c r="G89" s="29">
        <v>841</v>
      </c>
      <c r="H89" s="28">
        <v>5887</v>
      </c>
      <c r="I89" s="29">
        <v>1500</v>
      </c>
      <c r="J89" s="29">
        <v>2023</v>
      </c>
      <c r="K89" s="30" t="s">
        <v>56</v>
      </c>
      <c r="L89" s="30" t="s">
        <v>64</v>
      </c>
    </row>
    <row r="90" spans="1:12" ht="14.25" customHeight="1" x14ac:dyDescent="0.3">
      <c r="A90" s="29">
        <v>89</v>
      </c>
      <c r="B90" s="30" t="s">
        <v>7</v>
      </c>
      <c r="C90" s="30" t="s">
        <v>15</v>
      </c>
      <c r="D90" s="30" t="s">
        <v>19</v>
      </c>
      <c r="E90" s="31">
        <v>45128</v>
      </c>
      <c r="F90" s="29">
        <v>10</v>
      </c>
      <c r="G90" s="29">
        <v>677</v>
      </c>
      <c r="H90" s="28">
        <v>6770</v>
      </c>
      <c r="I90" s="29">
        <v>1000</v>
      </c>
      <c r="J90" s="29">
        <v>2023</v>
      </c>
      <c r="K90" s="30" t="s">
        <v>65</v>
      </c>
      <c r="L90" s="30" t="s">
        <v>66</v>
      </c>
    </row>
    <row r="91" spans="1:12" ht="14.25" customHeight="1" x14ac:dyDescent="0.3">
      <c r="A91" s="29">
        <v>90</v>
      </c>
      <c r="B91" s="30" t="s">
        <v>9</v>
      </c>
      <c r="C91" s="30" t="s">
        <v>14</v>
      </c>
      <c r="D91" s="30" t="s">
        <v>23</v>
      </c>
      <c r="E91" s="31">
        <v>44996</v>
      </c>
      <c r="F91" s="29">
        <v>8</v>
      </c>
      <c r="G91" s="29">
        <v>286</v>
      </c>
      <c r="H91" s="28">
        <v>2288</v>
      </c>
      <c r="I91" s="29">
        <v>1000</v>
      </c>
      <c r="J91" s="29">
        <v>2023</v>
      </c>
      <c r="K91" s="30" t="s">
        <v>59</v>
      </c>
      <c r="L91" s="30" t="s">
        <v>69</v>
      </c>
    </row>
    <row r="92" spans="1:12" ht="14.25" customHeight="1" x14ac:dyDescent="0.3">
      <c r="A92" s="29">
        <v>91</v>
      </c>
      <c r="B92" s="30" t="s">
        <v>6</v>
      </c>
      <c r="C92" s="30" t="s">
        <v>13</v>
      </c>
      <c r="D92" s="30" t="s">
        <v>28</v>
      </c>
      <c r="E92" s="31">
        <v>45035</v>
      </c>
      <c r="F92" s="29">
        <v>8</v>
      </c>
      <c r="G92" s="29">
        <v>434</v>
      </c>
      <c r="H92" s="28">
        <v>3472</v>
      </c>
      <c r="I92" s="29">
        <v>2000</v>
      </c>
      <c r="J92" s="29">
        <v>2023</v>
      </c>
      <c r="K92" s="30" t="s">
        <v>56</v>
      </c>
      <c r="L92" s="30" t="s">
        <v>63</v>
      </c>
    </row>
    <row r="93" spans="1:12" ht="14.25" customHeight="1" x14ac:dyDescent="0.3">
      <c r="A93" s="29">
        <v>92</v>
      </c>
      <c r="B93" s="30" t="s">
        <v>9</v>
      </c>
      <c r="C93" s="30" t="s">
        <v>15</v>
      </c>
      <c r="D93" s="30" t="s">
        <v>27</v>
      </c>
      <c r="E93" s="31">
        <v>45056</v>
      </c>
      <c r="F93" s="29">
        <v>2</v>
      </c>
      <c r="G93" s="29">
        <v>581</v>
      </c>
      <c r="H93" s="28">
        <v>1162</v>
      </c>
      <c r="I93" s="29">
        <v>1000</v>
      </c>
      <c r="J93" s="29">
        <v>2023</v>
      </c>
      <c r="K93" s="30" t="s">
        <v>56</v>
      </c>
      <c r="L93" s="30" t="s">
        <v>57</v>
      </c>
    </row>
    <row r="94" spans="1:12" ht="14.25" customHeight="1" x14ac:dyDescent="0.3">
      <c r="A94" s="29">
        <v>93</v>
      </c>
      <c r="B94" s="30" t="s">
        <v>6</v>
      </c>
      <c r="C94" s="30" t="s">
        <v>12</v>
      </c>
      <c r="D94" s="30" t="s">
        <v>21</v>
      </c>
      <c r="E94" s="31">
        <v>45041</v>
      </c>
      <c r="F94" s="29">
        <v>2</v>
      </c>
      <c r="G94" s="29">
        <v>899</v>
      </c>
      <c r="H94" s="28">
        <v>1798</v>
      </c>
      <c r="I94" s="29">
        <v>1000</v>
      </c>
      <c r="J94" s="29">
        <v>2023</v>
      </c>
      <c r="K94" s="30" t="s">
        <v>56</v>
      </c>
      <c r="L94" s="30" t="s">
        <v>63</v>
      </c>
    </row>
    <row r="95" spans="1:12" ht="14.25" customHeight="1" x14ac:dyDescent="0.3">
      <c r="A95" s="29">
        <v>94</v>
      </c>
      <c r="B95" s="30" t="s">
        <v>8</v>
      </c>
      <c r="C95" s="30" t="s">
        <v>14</v>
      </c>
      <c r="D95" s="30" t="s">
        <v>26</v>
      </c>
      <c r="E95" s="31">
        <v>44937</v>
      </c>
      <c r="F95" s="29">
        <v>10</v>
      </c>
      <c r="G95" s="29">
        <v>256</v>
      </c>
      <c r="H95" s="28">
        <v>2560</v>
      </c>
      <c r="I95" s="29">
        <v>1500</v>
      </c>
      <c r="J95" s="29">
        <v>2023</v>
      </c>
      <c r="K95" s="30" t="s">
        <v>59</v>
      </c>
      <c r="L95" s="30" t="s">
        <v>60</v>
      </c>
    </row>
    <row r="96" spans="1:12" ht="14.25" customHeight="1" x14ac:dyDescent="0.3">
      <c r="A96" s="29">
        <v>95</v>
      </c>
      <c r="B96" s="30" t="s">
        <v>7</v>
      </c>
      <c r="C96" s="30" t="s">
        <v>16</v>
      </c>
      <c r="D96" s="30" t="s">
        <v>33</v>
      </c>
      <c r="E96" s="31">
        <v>45215</v>
      </c>
      <c r="F96" s="29">
        <v>4</v>
      </c>
      <c r="G96" s="29">
        <v>576</v>
      </c>
      <c r="H96" s="28">
        <v>2304</v>
      </c>
      <c r="I96" s="29">
        <v>2000</v>
      </c>
      <c r="J96" s="29">
        <v>2023</v>
      </c>
      <c r="K96" s="30" t="s">
        <v>61</v>
      </c>
      <c r="L96" s="30" t="s">
        <v>62</v>
      </c>
    </row>
    <row r="97" spans="1:12" ht="14.25" customHeight="1" x14ac:dyDescent="0.3">
      <c r="A97" s="29">
        <v>96</v>
      </c>
      <c r="B97" s="30" t="s">
        <v>7</v>
      </c>
      <c r="C97" s="30" t="s">
        <v>13</v>
      </c>
      <c r="D97" s="30" t="s">
        <v>30</v>
      </c>
      <c r="E97" s="31">
        <v>45010</v>
      </c>
      <c r="F97" s="29">
        <v>5</v>
      </c>
      <c r="G97" s="29">
        <v>210</v>
      </c>
      <c r="H97" s="28">
        <v>1050</v>
      </c>
      <c r="I97" s="29">
        <v>1000</v>
      </c>
      <c r="J97" s="29">
        <v>2023</v>
      </c>
      <c r="K97" s="30" t="s">
        <v>59</v>
      </c>
      <c r="L97" s="30" t="s">
        <v>69</v>
      </c>
    </row>
    <row r="98" spans="1:12" ht="14.25" customHeight="1" x14ac:dyDescent="0.3">
      <c r="A98" s="29">
        <v>97</v>
      </c>
      <c r="B98" s="30" t="s">
        <v>9</v>
      </c>
      <c r="C98" s="30" t="s">
        <v>13</v>
      </c>
      <c r="D98" s="30" t="s">
        <v>25</v>
      </c>
      <c r="E98" s="31">
        <v>45130</v>
      </c>
      <c r="F98" s="29">
        <v>4</v>
      </c>
      <c r="G98" s="29">
        <v>177</v>
      </c>
      <c r="H98" s="28">
        <v>708</v>
      </c>
      <c r="I98" s="29">
        <v>1500</v>
      </c>
      <c r="J98" s="29">
        <v>2023</v>
      </c>
      <c r="K98" s="30" t="s">
        <v>65</v>
      </c>
      <c r="L98" s="30" t="s">
        <v>66</v>
      </c>
    </row>
    <row r="99" spans="1:12" ht="14.25" customHeight="1" x14ac:dyDescent="0.3">
      <c r="A99" s="29">
        <v>98</v>
      </c>
      <c r="B99" s="30" t="s">
        <v>6</v>
      </c>
      <c r="C99" s="30" t="s">
        <v>14</v>
      </c>
      <c r="D99" s="30" t="s">
        <v>23</v>
      </c>
      <c r="E99" s="31">
        <v>45277</v>
      </c>
      <c r="F99" s="29">
        <v>10</v>
      </c>
      <c r="G99" s="29">
        <v>924</v>
      </c>
      <c r="H99" s="28">
        <v>9240</v>
      </c>
      <c r="I99" s="29">
        <v>1000</v>
      </c>
      <c r="J99" s="29">
        <v>2023</v>
      </c>
      <c r="K99" s="30" t="s">
        <v>61</v>
      </c>
      <c r="L99" s="30" t="s">
        <v>67</v>
      </c>
    </row>
    <row r="100" spans="1:12" ht="14.25" customHeight="1" x14ac:dyDescent="0.3">
      <c r="A100" s="29">
        <v>99</v>
      </c>
      <c r="B100" s="30" t="s">
        <v>6</v>
      </c>
      <c r="C100" s="30" t="s">
        <v>12</v>
      </c>
      <c r="D100" s="30" t="s">
        <v>21</v>
      </c>
      <c r="E100" s="31">
        <v>45199</v>
      </c>
      <c r="F100" s="29">
        <v>7</v>
      </c>
      <c r="G100" s="29">
        <v>777</v>
      </c>
      <c r="H100" s="28">
        <v>5439</v>
      </c>
      <c r="I100" s="29">
        <v>2000</v>
      </c>
      <c r="J100" s="29">
        <v>2023</v>
      </c>
      <c r="K100" s="30" t="s">
        <v>65</v>
      </c>
      <c r="L100" s="30" t="s">
        <v>71</v>
      </c>
    </row>
    <row r="101" spans="1:12" ht="14.25" customHeight="1" x14ac:dyDescent="0.3">
      <c r="A101" s="29">
        <v>100</v>
      </c>
      <c r="B101" s="30" t="s">
        <v>6</v>
      </c>
      <c r="C101" s="30" t="s">
        <v>14</v>
      </c>
      <c r="D101" s="30" t="s">
        <v>23</v>
      </c>
      <c r="E101" s="31">
        <v>44933</v>
      </c>
      <c r="F101" s="29">
        <v>7</v>
      </c>
      <c r="G101" s="29">
        <v>942</v>
      </c>
      <c r="H101" s="28">
        <v>6594</v>
      </c>
      <c r="I101" s="29">
        <v>2500</v>
      </c>
      <c r="J101" s="29">
        <v>2023</v>
      </c>
      <c r="K101" s="30" t="s">
        <v>59</v>
      </c>
      <c r="L101" s="30" t="s">
        <v>60</v>
      </c>
    </row>
    <row r="102" spans="1:12" ht="14.25" customHeight="1" x14ac:dyDescent="0.3">
      <c r="A102" s="29">
        <v>101</v>
      </c>
      <c r="B102" s="30" t="s">
        <v>6</v>
      </c>
      <c r="C102" s="30" t="s">
        <v>14</v>
      </c>
      <c r="D102" s="30" t="s">
        <v>31</v>
      </c>
      <c r="E102" s="31">
        <v>45252</v>
      </c>
      <c r="F102" s="29">
        <v>8</v>
      </c>
      <c r="G102" s="29">
        <v>824</v>
      </c>
      <c r="H102" s="28">
        <v>6592</v>
      </c>
      <c r="I102" s="29">
        <v>1500</v>
      </c>
      <c r="J102" s="29">
        <v>2023</v>
      </c>
      <c r="K102" s="30" t="s">
        <v>61</v>
      </c>
      <c r="L102" s="30" t="s">
        <v>72</v>
      </c>
    </row>
    <row r="103" spans="1:12" ht="14.25" customHeight="1" x14ac:dyDescent="0.3">
      <c r="A103" s="29">
        <v>102</v>
      </c>
      <c r="B103" s="30" t="s">
        <v>6</v>
      </c>
      <c r="C103" s="30" t="s">
        <v>15</v>
      </c>
      <c r="D103" s="30" t="s">
        <v>19</v>
      </c>
      <c r="E103" s="31">
        <v>45242</v>
      </c>
      <c r="F103" s="29">
        <v>9</v>
      </c>
      <c r="G103" s="29">
        <v>893</v>
      </c>
      <c r="H103" s="28">
        <v>8037</v>
      </c>
      <c r="I103" s="29">
        <v>2500</v>
      </c>
      <c r="J103" s="29">
        <v>2023</v>
      </c>
      <c r="K103" s="30" t="s">
        <v>61</v>
      </c>
      <c r="L103" s="30" t="s">
        <v>72</v>
      </c>
    </row>
    <row r="104" spans="1:12" ht="14.25" customHeight="1" x14ac:dyDescent="0.3">
      <c r="A104" s="29">
        <v>103</v>
      </c>
      <c r="B104" s="30" t="s">
        <v>6</v>
      </c>
      <c r="C104" s="30" t="s">
        <v>15</v>
      </c>
      <c r="D104" s="30" t="s">
        <v>27</v>
      </c>
      <c r="E104" s="31">
        <v>45092</v>
      </c>
      <c r="F104" s="29">
        <v>4</v>
      </c>
      <c r="G104" s="29">
        <v>950</v>
      </c>
      <c r="H104" s="28">
        <v>3800</v>
      </c>
      <c r="I104" s="29">
        <v>1000</v>
      </c>
      <c r="J104" s="29">
        <v>2023</v>
      </c>
      <c r="K104" s="30" t="s">
        <v>56</v>
      </c>
      <c r="L104" s="30" t="s">
        <v>64</v>
      </c>
    </row>
    <row r="105" spans="1:12" ht="14.25" customHeight="1" x14ac:dyDescent="0.3">
      <c r="A105" s="29">
        <v>104</v>
      </c>
      <c r="B105" s="30" t="s">
        <v>8</v>
      </c>
      <c r="C105" s="30" t="s">
        <v>13</v>
      </c>
      <c r="D105" s="30" t="s">
        <v>28</v>
      </c>
      <c r="E105" s="31">
        <v>45164</v>
      </c>
      <c r="F105" s="29">
        <v>10</v>
      </c>
      <c r="G105" s="29">
        <v>724</v>
      </c>
      <c r="H105" s="28">
        <v>7240</v>
      </c>
      <c r="I105" s="29">
        <v>2500</v>
      </c>
      <c r="J105" s="29">
        <v>2023</v>
      </c>
      <c r="K105" s="30" t="s">
        <v>65</v>
      </c>
      <c r="L105" s="30" t="s">
        <v>70</v>
      </c>
    </row>
    <row r="106" spans="1:12" ht="14.25" customHeight="1" x14ac:dyDescent="0.3">
      <c r="A106" s="29">
        <v>105</v>
      </c>
      <c r="B106" s="30" t="s">
        <v>9</v>
      </c>
      <c r="C106" s="30" t="s">
        <v>13</v>
      </c>
      <c r="D106" s="30" t="s">
        <v>30</v>
      </c>
      <c r="E106" s="31">
        <v>45093</v>
      </c>
      <c r="F106" s="29">
        <v>3</v>
      </c>
      <c r="G106" s="29">
        <v>599</v>
      </c>
      <c r="H106" s="28">
        <v>1797</v>
      </c>
      <c r="I106" s="29">
        <v>1500</v>
      </c>
      <c r="J106" s="29">
        <v>2023</v>
      </c>
      <c r="K106" s="30" t="s">
        <v>56</v>
      </c>
      <c r="L106" s="30" t="s">
        <v>64</v>
      </c>
    </row>
    <row r="107" spans="1:12" ht="14.25" customHeight="1" x14ac:dyDescent="0.3">
      <c r="A107" s="29">
        <v>106</v>
      </c>
      <c r="B107" s="30" t="s">
        <v>6</v>
      </c>
      <c r="C107" s="30" t="s">
        <v>13</v>
      </c>
      <c r="D107" s="30" t="s">
        <v>28</v>
      </c>
      <c r="E107" s="31">
        <v>45070</v>
      </c>
      <c r="F107" s="29">
        <v>10</v>
      </c>
      <c r="G107" s="29">
        <v>818</v>
      </c>
      <c r="H107" s="28">
        <v>8180</v>
      </c>
      <c r="I107" s="29">
        <v>2000</v>
      </c>
      <c r="J107" s="29">
        <v>2023</v>
      </c>
      <c r="K107" s="30" t="s">
        <v>56</v>
      </c>
      <c r="L107" s="30" t="s">
        <v>57</v>
      </c>
    </row>
    <row r="108" spans="1:12" ht="14.25" customHeight="1" x14ac:dyDescent="0.3">
      <c r="A108" s="29">
        <v>107</v>
      </c>
      <c r="B108" s="30" t="s">
        <v>8</v>
      </c>
      <c r="C108" s="30" t="s">
        <v>12</v>
      </c>
      <c r="D108" s="30" t="s">
        <v>21</v>
      </c>
      <c r="E108" s="31">
        <v>44970</v>
      </c>
      <c r="F108" s="29">
        <v>4</v>
      </c>
      <c r="G108" s="29">
        <v>837</v>
      </c>
      <c r="H108" s="28">
        <v>3348</v>
      </c>
      <c r="I108" s="29">
        <v>2500</v>
      </c>
      <c r="J108" s="29">
        <v>2023</v>
      </c>
      <c r="K108" s="30" t="s">
        <v>59</v>
      </c>
      <c r="L108" s="30" t="s">
        <v>68</v>
      </c>
    </row>
    <row r="109" spans="1:12" ht="14.25" customHeight="1" x14ac:dyDescent="0.3">
      <c r="A109" s="29">
        <v>108</v>
      </c>
      <c r="B109" s="30" t="s">
        <v>8</v>
      </c>
      <c r="C109" s="30" t="s">
        <v>15</v>
      </c>
      <c r="D109" s="30" t="s">
        <v>22</v>
      </c>
      <c r="E109" s="31">
        <v>45280</v>
      </c>
      <c r="F109" s="29">
        <v>8</v>
      </c>
      <c r="G109" s="29">
        <v>761</v>
      </c>
      <c r="H109" s="28">
        <v>6088</v>
      </c>
      <c r="I109" s="29">
        <v>2500</v>
      </c>
      <c r="J109" s="29">
        <v>2023</v>
      </c>
      <c r="K109" s="30" t="s">
        <v>61</v>
      </c>
      <c r="L109" s="30" t="s">
        <v>67</v>
      </c>
    </row>
    <row r="110" spans="1:12" ht="14.25" customHeight="1" x14ac:dyDescent="0.3">
      <c r="A110" s="29">
        <v>109</v>
      </c>
      <c r="B110" s="30" t="s">
        <v>7</v>
      </c>
      <c r="C110" s="30" t="s">
        <v>15</v>
      </c>
      <c r="D110" s="30" t="s">
        <v>19</v>
      </c>
      <c r="E110" s="31">
        <v>45077</v>
      </c>
      <c r="F110" s="29">
        <v>4</v>
      </c>
      <c r="G110" s="29">
        <v>514</v>
      </c>
      <c r="H110" s="28">
        <v>2056</v>
      </c>
      <c r="I110" s="29">
        <v>1500</v>
      </c>
      <c r="J110" s="29">
        <v>2023</v>
      </c>
      <c r="K110" s="30" t="s">
        <v>56</v>
      </c>
      <c r="L110" s="30" t="s">
        <v>57</v>
      </c>
    </row>
    <row r="111" spans="1:12" ht="14.25" customHeight="1" x14ac:dyDescent="0.3">
      <c r="A111" s="29">
        <v>110</v>
      </c>
      <c r="B111" s="30" t="s">
        <v>6</v>
      </c>
      <c r="C111" s="30" t="s">
        <v>13</v>
      </c>
      <c r="D111" s="30" t="s">
        <v>25</v>
      </c>
      <c r="E111" s="31">
        <v>45169</v>
      </c>
      <c r="F111" s="29">
        <v>9</v>
      </c>
      <c r="G111" s="29">
        <v>643</v>
      </c>
      <c r="H111" s="28">
        <v>5787</v>
      </c>
      <c r="I111" s="29">
        <v>2000</v>
      </c>
      <c r="J111" s="29">
        <v>2023</v>
      </c>
      <c r="K111" s="30" t="s">
        <v>65</v>
      </c>
      <c r="L111" s="30" t="s">
        <v>70</v>
      </c>
    </row>
    <row r="112" spans="1:12" ht="14.25" customHeight="1" x14ac:dyDescent="0.3">
      <c r="A112" s="29">
        <v>111</v>
      </c>
      <c r="B112" s="30" t="s">
        <v>6</v>
      </c>
      <c r="C112" s="30" t="s">
        <v>15</v>
      </c>
      <c r="D112" s="30" t="s">
        <v>22</v>
      </c>
      <c r="E112" s="31">
        <v>45107</v>
      </c>
      <c r="F112" s="29">
        <v>8</v>
      </c>
      <c r="G112" s="29">
        <v>377</v>
      </c>
      <c r="H112" s="28">
        <v>3016</v>
      </c>
      <c r="I112" s="29">
        <v>2000</v>
      </c>
      <c r="J112" s="29">
        <v>2023</v>
      </c>
      <c r="K112" s="30" t="s">
        <v>56</v>
      </c>
      <c r="L112" s="30" t="s">
        <v>64</v>
      </c>
    </row>
    <row r="113" spans="1:12" ht="14.25" customHeight="1" x14ac:dyDescent="0.3">
      <c r="A113" s="29">
        <v>112</v>
      </c>
      <c r="B113" s="30" t="s">
        <v>7</v>
      </c>
      <c r="C113" s="30" t="s">
        <v>13</v>
      </c>
      <c r="D113" s="30" t="s">
        <v>30</v>
      </c>
      <c r="E113" s="31">
        <v>45025</v>
      </c>
      <c r="F113" s="29">
        <v>6</v>
      </c>
      <c r="G113" s="29">
        <v>222</v>
      </c>
      <c r="H113" s="28">
        <v>1332</v>
      </c>
      <c r="I113" s="29">
        <v>1500</v>
      </c>
      <c r="J113" s="29">
        <v>2023</v>
      </c>
      <c r="K113" s="30" t="s">
        <v>56</v>
      </c>
      <c r="L113" s="30" t="s">
        <v>63</v>
      </c>
    </row>
    <row r="114" spans="1:12" ht="14.25" customHeight="1" x14ac:dyDescent="0.3">
      <c r="A114" s="29">
        <v>113</v>
      </c>
      <c r="B114" s="30" t="s">
        <v>9</v>
      </c>
      <c r="C114" s="30" t="s">
        <v>16</v>
      </c>
      <c r="D114" s="30" t="s">
        <v>20</v>
      </c>
      <c r="E114" s="31">
        <v>45068</v>
      </c>
      <c r="F114" s="29">
        <v>10</v>
      </c>
      <c r="G114" s="29">
        <v>878</v>
      </c>
      <c r="H114" s="28">
        <v>8780</v>
      </c>
      <c r="I114" s="29">
        <v>2000</v>
      </c>
      <c r="J114" s="29">
        <v>2023</v>
      </c>
      <c r="K114" s="30" t="s">
        <v>56</v>
      </c>
      <c r="L114" s="30" t="s">
        <v>57</v>
      </c>
    </row>
    <row r="115" spans="1:12" ht="14.25" customHeight="1" x14ac:dyDescent="0.3">
      <c r="A115" s="29">
        <v>114</v>
      </c>
      <c r="B115" s="30" t="s">
        <v>6</v>
      </c>
      <c r="C115" s="30" t="s">
        <v>14</v>
      </c>
      <c r="D115" s="30" t="s">
        <v>26</v>
      </c>
      <c r="E115" s="31">
        <v>45043</v>
      </c>
      <c r="F115" s="29">
        <v>6</v>
      </c>
      <c r="G115" s="29">
        <v>283</v>
      </c>
      <c r="H115" s="28">
        <v>1698</v>
      </c>
      <c r="I115" s="29">
        <v>2000</v>
      </c>
      <c r="J115" s="29">
        <v>2023</v>
      </c>
      <c r="K115" s="30" t="s">
        <v>56</v>
      </c>
      <c r="L115" s="30" t="s">
        <v>63</v>
      </c>
    </row>
    <row r="116" spans="1:12" ht="14.25" customHeight="1" x14ac:dyDescent="0.3">
      <c r="A116" s="29">
        <v>115</v>
      </c>
      <c r="B116" s="30" t="s">
        <v>8</v>
      </c>
      <c r="C116" s="30" t="s">
        <v>14</v>
      </c>
      <c r="D116" s="30" t="s">
        <v>23</v>
      </c>
      <c r="E116" s="31">
        <v>45067</v>
      </c>
      <c r="F116" s="29">
        <v>1</v>
      </c>
      <c r="G116" s="29">
        <v>155</v>
      </c>
      <c r="H116" s="28">
        <v>155</v>
      </c>
      <c r="I116" s="29">
        <v>2000</v>
      </c>
      <c r="J116" s="29">
        <v>2023</v>
      </c>
      <c r="K116" s="30" t="s">
        <v>56</v>
      </c>
      <c r="L116" s="30" t="s">
        <v>57</v>
      </c>
    </row>
    <row r="117" spans="1:12" ht="14.25" customHeight="1" x14ac:dyDescent="0.3">
      <c r="A117" s="29">
        <v>116</v>
      </c>
      <c r="B117" s="30" t="s">
        <v>9</v>
      </c>
      <c r="C117" s="30" t="s">
        <v>16</v>
      </c>
      <c r="D117" s="30" t="s">
        <v>32</v>
      </c>
      <c r="E117" s="31">
        <v>44979</v>
      </c>
      <c r="F117" s="29">
        <v>1</v>
      </c>
      <c r="G117" s="29">
        <v>687</v>
      </c>
      <c r="H117" s="28">
        <v>687</v>
      </c>
      <c r="I117" s="29">
        <v>2000</v>
      </c>
      <c r="J117" s="29">
        <v>2023</v>
      </c>
      <c r="K117" s="30" t="s">
        <v>59</v>
      </c>
      <c r="L117" s="30" t="s">
        <v>68</v>
      </c>
    </row>
    <row r="118" spans="1:12" ht="14.25" customHeight="1" x14ac:dyDescent="0.3">
      <c r="A118" s="29">
        <v>117</v>
      </c>
      <c r="B118" s="30" t="s">
        <v>9</v>
      </c>
      <c r="C118" s="30" t="s">
        <v>15</v>
      </c>
      <c r="D118" s="30" t="s">
        <v>27</v>
      </c>
      <c r="E118" s="31">
        <v>45101</v>
      </c>
      <c r="F118" s="29">
        <v>3</v>
      </c>
      <c r="G118" s="29">
        <v>152</v>
      </c>
      <c r="H118" s="28">
        <v>456</v>
      </c>
      <c r="I118" s="29">
        <v>2000</v>
      </c>
      <c r="J118" s="29">
        <v>2023</v>
      </c>
      <c r="K118" s="30" t="s">
        <v>56</v>
      </c>
      <c r="L118" s="30" t="s">
        <v>64</v>
      </c>
    </row>
    <row r="119" spans="1:12" ht="14.25" customHeight="1" x14ac:dyDescent="0.3">
      <c r="A119" s="29">
        <v>118</v>
      </c>
      <c r="B119" s="30" t="s">
        <v>7</v>
      </c>
      <c r="C119" s="30" t="s">
        <v>15</v>
      </c>
      <c r="D119" s="30" t="s">
        <v>19</v>
      </c>
      <c r="E119" s="31">
        <v>45132</v>
      </c>
      <c r="F119" s="29">
        <v>8</v>
      </c>
      <c r="G119" s="29">
        <v>175</v>
      </c>
      <c r="H119" s="28">
        <v>1400</v>
      </c>
      <c r="I119" s="29">
        <v>1000</v>
      </c>
      <c r="J119" s="29">
        <v>2023</v>
      </c>
      <c r="K119" s="30" t="s">
        <v>65</v>
      </c>
      <c r="L119" s="30" t="s">
        <v>66</v>
      </c>
    </row>
    <row r="120" spans="1:12" ht="14.25" customHeight="1" x14ac:dyDescent="0.3">
      <c r="A120" s="29">
        <v>119</v>
      </c>
      <c r="B120" s="30" t="s">
        <v>6</v>
      </c>
      <c r="C120" s="30" t="s">
        <v>16</v>
      </c>
      <c r="D120" s="30" t="s">
        <v>20</v>
      </c>
      <c r="E120" s="31">
        <v>44970</v>
      </c>
      <c r="F120" s="29">
        <v>4</v>
      </c>
      <c r="G120" s="29">
        <v>221</v>
      </c>
      <c r="H120" s="28">
        <v>884</v>
      </c>
      <c r="I120" s="29">
        <v>2500</v>
      </c>
      <c r="J120" s="29">
        <v>2023</v>
      </c>
      <c r="K120" s="30" t="s">
        <v>59</v>
      </c>
      <c r="L120" s="30" t="s">
        <v>68</v>
      </c>
    </row>
    <row r="121" spans="1:12" ht="14.25" customHeight="1" x14ac:dyDescent="0.3">
      <c r="A121" s="29">
        <v>120</v>
      </c>
      <c r="B121" s="30" t="s">
        <v>8</v>
      </c>
      <c r="C121" s="30" t="s">
        <v>12</v>
      </c>
      <c r="D121" s="30" t="s">
        <v>24</v>
      </c>
      <c r="E121" s="31">
        <v>45194</v>
      </c>
      <c r="F121" s="29">
        <v>7</v>
      </c>
      <c r="G121" s="29">
        <v>561</v>
      </c>
      <c r="H121" s="28">
        <v>3927</v>
      </c>
      <c r="I121" s="29">
        <v>2500</v>
      </c>
      <c r="J121" s="29">
        <v>2023</v>
      </c>
      <c r="K121" s="30" t="s">
        <v>65</v>
      </c>
      <c r="L121" s="30" t="s">
        <v>71</v>
      </c>
    </row>
    <row r="122" spans="1:12" ht="14.25" customHeight="1" x14ac:dyDescent="0.3">
      <c r="A122" s="29">
        <v>121</v>
      </c>
      <c r="B122" s="30" t="s">
        <v>9</v>
      </c>
      <c r="C122" s="30" t="s">
        <v>13</v>
      </c>
      <c r="D122" s="30" t="s">
        <v>25</v>
      </c>
      <c r="E122" s="31">
        <v>45083</v>
      </c>
      <c r="F122" s="29">
        <v>10</v>
      </c>
      <c r="G122" s="29">
        <v>735</v>
      </c>
      <c r="H122" s="28">
        <v>7350</v>
      </c>
      <c r="I122" s="29">
        <v>1000</v>
      </c>
      <c r="J122" s="29">
        <v>2023</v>
      </c>
      <c r="K122" s="30" t="s">
        <v>56</v>
      </c>
      <c r="L122" s="30" t="s">
        <v>64</v>
      </c>
    </row>
    <row r="123" spans="1:12" ht="14.25" customHeight="1" x14ac:dyDescent="0.3">
      <c r="A123" s="29">
        <v>122</v>
      </c>
      <c r="B123" s="30" t="s">
        <v>7</v>
      </c>
      <c r="C123" s="30" t="s">
        <v>12</v>
      </c>
      <c r="D123" s="30" t="s">
        <v>24</v>
      </c>
      <c r="E123" s="31">
        <v>45033</v>
      </c>
      <c r="F123" s="29">
        <v>4</v>
      </c>
      <c r="G123" s="29">
        <v>370</v>
      </c>
      <c r="H123" s="28">
        <v>1480</v>
      </c>
      <c r="I123" s="29">
        <v>1000</v>
      </c>
      <c r="J123" s="29">
        <v>2023</v>
      </c>
      <c r="K123" s="30" t="s">
        <v>56</v>
      </c>
      <c r="L123" s="30" t="s">
        <v>63</v>
      </c>
    </row>
    <row r="124" spans="1:12" ht="14.25" customHeight="1" x14ac:dyDescent="0.3">
      <c r="A124" s="29">
        <v>123</v>
      </c>
      <c r="B124" s="30" t="s">
        <v>8</v>
      </c>
      <c r="C124" s="30" t="s">
        <v>16</v>
      </c>
      <c r="D124" s="30" t="s">
        <v>20</v>
      </c>
      <c r="E124" s="31">
        <v>45209</v>
      </c>
      <c r="F124" s="29">
        <v>2</v>
      </c>
      <c r="G124" s="29">
        <v>260</v>
      </c>
      <c r="H124" s="28">
        <v>520</v>
      </c>
      <c r="I124" s="29">
        <v>1000</v>
      </c>
      <c r="J124" s="29">
        <v>2023</v>
      </c>
      <c r="K124" s="30" t="s">
        <v>61</v>
      </c>
      <c r="L124" s="30" t="s">
        <v>62</v>
      </c>
    </row>
    <row r="125" spans="1:12" ht="14.25" customHeight="1" x14ac:dyDescent="0.3">
      <c r="A125" s="29">
        <v>124</v>
      </c>
      <c r="B125" s="30" t="s">
        <v>9</v>
      </c>
      <c r="C125" s="30" t="s">
        <v>15</v>
      </c>
      <c r="D125" s="30" t="s">
        <v>27</v>
      </c>
      <c r="E125" s="31">
        <v>45076</v>
      </c>
      <c r="F125" s="29">
        <v>1</v>
      </c>
      <c r="G125" s="29">
        <v>337</v>
      </c>
      <c r="H125" s="28">
        <v>337</v>
      </c>
      <c r="I125" s="29">
        <v>2000</v>
      </c>
      <c r="J125" s="29">
        <v>2023</v>
      </c>
      <c r="K125" s="30" t="s">
        <v>56</v>
      </c>
      <c r="L125" s="30" t="s">
        <v>57</v>
      </c>
    </row>
    <row r="126" spans="1:12" ht="14.25" customHeight="1" x14ac:dyDescent="0.3">
      <c r="A126" s="29">
        <v>125</v>
      </c>
      <c r="B126" s="30" t="s">
        <v>9</v>
      </c>
      <c r="C126" s="30" t="s">
        <v>13</v>
      </c>
      <c r="D126" s="30" t="s">
        <v>25</v>
      </c>
      <c r="E126" s="31">
        <v>44963</v>
      </c>
      <c r="F126" s="29">
        <v>4</v>
      </c>
      <c r="G126" s="29">
        <v>370</v>
      </c>
      <c r="H126" s="28">
        <v>1480</v>
      </c>
      <c r="I126" s="29">
        <v>1500</v>
      </c>
      <c r="J126" s="29">
        <v>2023</v>
      </c>
      <c r="K126" s="30" t="s">
        <v>59</v>
      </c>
      <c r="L126" s="30" t="s">
        <v>68</v>
      </c>
    </row>
    <row r="127" spans="1:12" ht="14.25" customHeight="1" x14ac:dyDescent="0.3">
      <c r="A127" s="29">
        <v>126</v>
      </c>
      <c r="B127" s="30" t="s">
        <v>8</v>
      </c>
      <c r="C127" s="30" t="s">
        <v>15</v>
      </c>
      <c r="D127" s="30" t="s">
        <v>19</v>
      </c>
      <c r="E127" s="31">
        <v>45258</v>
      </c>
      <c r="F127" s="29">
        <v>3</v>
      </c>
      <c r="G127" s="29">
        <v>372</v>
      </c>
      <c r="H127" s="28">
        <v>1116</v>
      </c>
      <c r="I127" s="29">
        <v>1500</v>
      </c>
      <c r="J127" s="29">
        <v>2023</v>
      </c>
      <c r="K127" s="30" t="s">
        <v>61</v>
      </c>
      <c r="L127" s="30" t="s">
        <v>72</v>
      </c>
    </row>
    <row r="128" spans="1:12" ht="14.25" customHeight="1" x14ac:dyDescent="0.3">
      <c r="A128" s="29">
        <v>127</v>
      </c>
      <c r="B128" s="30" t="s">
        <v>8</v>
      </c>
      <c r="C128" s="30" t="s">
        <v>14</v>
      </c>
      <c r="D128" s="30" t="s">
        <v>26</v>
      </c>
      <c r="E128" s="31">
        <v>45084</v>
      </c>
      <c r="F128" s="29">
        <v>10</v>
      </c>
      <c r="G128" s="29">
        <v>866</v>
      </c>
      <c r="H128" s="28">
        <v>8660</v>
      </c>
      <c r="I128" s="29">
        <v>2000</v>
      </c>
      <c r="J128" s="29">
        <v>2023</v>
      </c>
      <c r="K128" s="30" t="s">
        <v>56</v>
      </c>
      <c r="L128" s="30" t="s">
        <v>64</v>
      </c>
    </row>
    <row r="129" spans="1:12" ht="14.25" customHeight="1" x14ac:dyDescent="0.3">
      <c r="A129" s="29">
        <v>128</v>
      </c>
      <c r="B129" s="30" t="s">
        <v>9</v>
      </c>
      <c r="C129" s="30" t="s">
        <v>15</v>
      </c>
      <c r="D129" s="30" t="s">
        <v>19</v>
      </c>
      <c r="E129" s="31">
        <v>45279</v>
      </c>
      <c r="F129" s="29">
        <v>5</v>
      </c>
      <c r="G129" s="29">
        <v>816</v>
      </c>
      <c r="H129" s="28">
        <v>4080</v>
      </c>
      <c r="I129" s="29">
        <v>2500</v>
      </c>
      <c r="J129" s="29">
        <v>2023</v>
      </c>
      <c r="K129" s="30" t="s">
        <v>61</v>
      </c>
      <c r="L129" s="30" t="s">
        <v>67</v>
      </c>
    </row>
    <row r="130" spans="1:12" ht="14.25" customHeight="1" x14ac:dyDescent="0.3">
      <c r="A130" s="29">
        <v>129</v>
      </c>
      <c r="B130" s="30" t="s">
        <v>9</v>
      </c>
      <c r="C130" s="30" t="s">
        <v>13</v>
      </c>
      <c r="D130" s="30" t="s">
        <v>25</v>
      </c>
      <c r="E130" s="31">
        <v>45151</v>
      </c>
      <c r="F130" s="29">
        <v>2</v>
      </c>
      <c r="G130" s="29">
        <v>712</v>
      </c>
      <c r="H130" s="28">
        <v>1424</v>
      </c>
      <c r="I130" s="29">
        <v>1000</v>
      </c>
      <c r="J130" s="29">
        <v>2023</v>
      </c>
      <c r="K130" s="30" t="s">
        <v>65</v>
      </c>
      <c r="L130" s="30" t="s">
        <v>70</v>
      </c>
    </row>
    <row r="131" spans="1:12" ht="14.25" customHeight="1" x14ac:dyDescent="0.3">
      <c r="A131" s="29">
        <v>130</v>
      </c>
      <c r="B131" s="30" t="s">
        <v>6</v>
      </c>
      <c r="C131" s="30" t="s">
        <v>15</v>
      </c>
      <c r="D131" s="30" t="s">
        <v>22</v>
      </c>
      <c r="E131" s="31">
        <v>45236</v>
      </c>
      <c r="F131" s="29">
        <v>5</v>
      </c>
      <c r="G131" s="29">
        <v>126</v>
      </c>
      <c r="H131" s="28">
        <v>630</v>
      </c>
      <c r="I131" s="29">
        <v>1000</v>
      </c>
      <c r="J131" s="29">
        <v>2023</v>
      </c>
      <c r="K131" s="30" t="s">
        <v>61</v>
      </c>
      <c r="L131" s="30" t="s">
        <v>72</v>
      </c>
    </row>
    <row r="132" spans="1:12" ht="14.25" customHeight="1" x14ac:dyDescent="0.3">
      <c r="A132" s="29">
        <v>131</v>
      </c>
      <c r="B132" s="30" t="s">
        <v>7</v>
      </c>
      <c r="C132" s="30" t="s">
        <v>16</v>
      </c>
      <c r="D132" s="30" t="s">
        <v>32</v>
      </c>
      <c r="E132" s="31">
        <v>45271</v>
      </c>
      <c r="F132" s="29">
        <v>5</v>
      </c>
      <c r="G132" s="29">
        <v>690</v>
      </c>
      <c r="H132" s="28">
        <v>3450</v>
      </c>
      <c r="I132" s="29">
        <v>1000</v>
      </c>
      <c r="J132" s="29">
        <v>2023</v>
      </c>
      <c r="K132" s="30" t="s">
        <v>61</v>
      </c>
      <c r="L132" s="30" t="s">
        <v>67</v>
      </c>
    </row>
    <row r="133" spans="1:12" ht="14.25" customHeight="1" x14ac:dyDescent="0.3">
      <c r="A133" s="29">
        <v>132</v>
      </c>
      <c r="B133" s="30" t="s">
        <v>9</v>
      </c>
      <c r="C133" s="30" t="s">
        <v>16</v>
      </c>
      <c r="D133" s="30" t="s">
        <v>33</v>
      </c>
      <c r="E133" s="31">
        <v>45069</v>
      </c>
      <c r="F133" s="29">
        <v>3</v>
      </c>
      <c r="G133" s="29">
        <v>699</v>
      </c>
      <c r="H133" s="28">
        <v>2097</v>
      </c>
      <c r="I133" s="29">
        <v>2500</v>
      </c>
      <c r="J133" s="29">
        <v>2023</v>
      </c>
      <c r="K133" s="30" t="s">
        <v>56</v>
      </c>
      <c r="L133" s="30" t="s">
        <v>57</v>
      </c>
    </row>
    <row r="134" spans="1:12" ht="14.25" customHeight="1" x14ac:dyDescent="0.3">
      <c r="A134" s="29">
        <v>133</v>
      </c>
      <c r="B134" s="30" t="s">
        <v>9</v>
      </c>
      <c r="C134" s="30" t="s">
        <v>15</v>
      </c>
      <c r="D134" s="30" t="s">
        <v>19</v>
      </c>
      <c r="E134" s="31">
        <v>45105</v>
      </c>
      <c r="F134" s="29">
        <v>7</v>
      </c>
      <c r="G134" s="29">
        <v>441</v>
      </c>
      <c r="H134" s="28">
        <v>3087</v>
      </c>
      <c r="I134" s="29">
        <v>2000</v>
      </c>
      <c r="J134" s="29">
        <v>2023</v>
      </c>
      <c r="K134" s="30" t="s">
        <v>56</v>
      </c>
      <c r="L134" s="30" t="s">
        <v>64</v>
      </c>
    </row>
    <row r="135" spans="1:12" ht="14.25" customHeight="1" x14ac:dyDescent="0.3">
      <c r="A135" s="29">
        <v>134</v>
      </c>
      <c r="B135" s="30" t="s">
        <v>6</v>
      </c>
      <c r="C135" s="30" t="s">
        <v>14</v>
      </c>
      <c r="D135" s="30" t="s">
        <v>26</v>
      </c>
      <c r="E135" s="31">
        <v>45137</v>
      </c>
      <c r="F135" s="29">
        <v>8</v>
      </c>
      <c r="G135" s="29">
        <v>395</v>
      </c>
      <c r="H135" s="28">
        <v>3160</v>
      </c>
      <c r="I135" s="29">
        <v>2500</v>
      </c>
      <c r="J135" s="29">
        <v>2023</v>
      </c>
      <c r="K135" s="30" t="s">
        <v>65</v>
      </c>
      <c r="L135" s="30" t="s">
        <v>66</v>
      </c>
    </row>
    <row r="136" spans="1:12" ht="14.25" customHeight="1" x14ac:dyDescent="0.3">
      <c r="A136" s="29">
        <v>135</v>
      </c>
      <c r="B136" s="30" t="s">
        <v>9</v>
      </c>
      <c r="C136" s="30" t="s">
        <v>12</v>
      </c>
      <c r="D136" s="30" t="s">
        <v>21</v>
      </c>
      <c r="E136" s="31">
        <v>44972</v>
      </c>
      <c r="F136" s="29">
        <v>6</v>
      </c>
      <c r="G136" s="29">
        <v>358</v>
      </c>
      <c r="H136" s="28">
        <v>2148</v>
      </c>
      <c r="I136" s="29">
        <v>2000</v>
      </c>
      <c r="J136" s="29">
        <v>2023</v>
      </c>
      <c r="K136" s="30" t="s">
        <v>59</v>
      </c>
      <c r="L136" s="30" t="s">
        <v>68</v>
      </c>
    </row>
    <row r="137" spans="1:12" ht="14.25" customHeight="1" x14ac:dyDescent="0.3">
      <c r="A137" s="29">
        <v>136</v>
      </c>
      <c r="B137" s="30" t="s">
        <v>7</v>
      </c>
      <c r="C137" s="30" t="s">
        <v>14</v>
      </c>
      <c r="D137" s="30" t="s">
        <v>31</v>
      </c>
      <c r="E137" s="31">
        <v>45263</v>
      </c>
      <c r="F137" s="29">
        <v>9</v>
      </c>
      <c r="G137" s="29">
        <v>573</v>
      </c>
      <c r="H137" s="28">
        <v>5157</v>
      </c>
      <c r="I137" s="29">
        <v>2500</v>
      </c>
      <c r="J137" s="29">
        <v>2023</v>
      </c>
      <c r="K137" s="30" t="s">
        <v>61</v>
      </c>
      <c r="L137" s="30" t="s">
        <v>67</v>
      </c>
    </row>
    <row r="138" spans="1:12" ht="14.25" customHeight="1" x14ac:dyDescent="0.3">
      <c r="A138" s="29">
        <v>137</v>
      </c>
      <c r="B138" s="30" t="s">
        <v>6</v>
      </c>
      <c r="C138" s="30" t="s">
        <v>14</v>
      </c>
      <c r="D138" s="30" t="s">
        <v>26</v>
      </c>
      <c r="E138" s="31">
        <v>45245</v>
      </c>
      <c r="F138" s="29">
        <v>8</v>
      </c>
      <c r="G138" s="29">
        <v>740</v>
      </c>
      <c r="H138" s="28">
        <v>5920</v>
      </c>
      <c r="I138" s="29">
        <v>2500</v>
      </c>
      <c r="J138" s="29">
        <v>2023</v>
      </c>
      <c r="K138" s="30" t="s">
        <v>61</v>
      </c>
      <c r="L138" s="30" t="s">
        <v>72</v>
      </c>
    </row>
    <row r="139" spans="1:12" ht="14.25" customHeight="1" x14ac:dyDescent="0.3">
      <c r="A139" s="29">
        <v>138</v>
      </c>
      <c r="B139" s="30" t="s">
        <v>6</v>
      </c>
      <c r="C139" s="30" t="s">
        <v>14</v>
      </c>
      <c r="D139" s="30" t="s">
        <v>26</v>
      </c>
      <c r="E139" s="31">
        <v>45208</v>
      </c>
      <c r="F139" s="29">
        <v>3</v>
      </c>
      <c r="G139" s="29">
        <v>394</v>
      </c>
      <c r="H139" s="28">
        <v>1182</v>
      </c>
      <c r="I139" s="29">
        <v>2500</v>
      </c>
      <c r="J139" s="29">
        <v>2023</v>
      </c>
      <c r="K139" s="30" t="s">
        <v>61</v>
      </c>
      <c r="L139" s="30" t="s">
        <v>62</v>
      </c>
    </row>
    <row r="140" spans="1:12" ht="14.25" customHeight="1" x14ac:dyDescent="0.3">
      <c r="A140" s="29">
        <v>139</v>
      </c>
      <c r="B140" s="30" t="s">
        <v>7</v>
      </c>
      <c r="C140" s="30" t="s">
        <v>15</v>
      </c>
      <c r="D140" s="30" t="s">
        <v>19</v>
      </c>
      <c r="E140" s="31">
        <v>45249</v>
      </c>
      <c r="F140" s="29">
        <v>10</v>
      </c>
      <c r="G140" s="29">
        <v>918</v>
      </c>
      <c r="H140" s="28">
        <v>9180</v>
      </c>
      <c r="I140" s="29">
        <v>1500</v>
      </c>
      <c r="J140" s="29">
        <v>2023</v>
      </c>
      <c r="K140" s="30" t="s">
        <v>61</v>
      </c>
      <c r="L140" s="30" t="s">
        <v>72</v>
      </c>
    </row>
    <row r="141" spans="1:12" ht="14.25" customHeight="1" x14ac:dyDescent="0.3">
      <c r="A141" s="29">
        <v>140</v>
      </c>
      <c r="B141" s="30" t="s">
        <v>7</v>
      </c>
      <c r="C141" s="30" t="s">
        <v>16</v>
      </c>
      <c r="D141" s="30" t="s">
        <v>33</v>
      </c>
      <c r="E141" s="31">
        <v>45209</v>
      </c>
      <c r="F141" s="29">
        <v>7</v>
      </c>
      <c r="G141" s="29">
        <v>195</v>
      </c>
      <c r="H141" s="28">
        <v>1365</v>
      </c>
      <c r="I141" s="29">
        <v>1500</v>
      </c>
      <c r="J141" s="29">
        <v>2023</v>
      </c>
      <c r="K141" s="30" t="s">
        <v>61</v>
      </c>
      <c r="L141" s="30" t="s">
        <v>62</v>
      </c>
    </row>
    <row r="142" spans="1:12" ht="14.25" customHeight="1" x14ac:dyDescent="0.3">
      <c r="A142" s="29">
        <v>141</v>
      </c>
      <c r="B142" s="30" t="s">
        <v>7</v>
      </c>
      <c r="C142" s="30" t="s">
        <v>14</v>
      </c>
      <c r="D142" s="30" t="s">
        <v>31</v>
      </c>
      <c r="E142" s="31">
        <v>45258</v>
      </c>
      <c r="F142" s="29">
        <v>3</v>
      </c>
      <c r="G142" s="29">
        <v>610</v>
      </c>
      <c r="H142" s="28">
        <v>1830</v>
      </c>
      <c r="I142" s="29">
        <v>2000</v>
      </c>
      <c r="J142" s="29">
        <v>2023</v>
      </c>
      <c r="K142" s="30" t="s">
        <v>61</v>
      </c>
      <c r="L142" s="30" t="s">
        <v>72</v>
      </c>
    </row>
    <row r="143" spans="1:12" ht="14.25" customHeight="1" x14ac:dyDescent="0.3">
      <c r="A143" s="29">
        <v>142</v>
      </c>
      <c r="B143" s="30" t="s">
        <v>6</v>
      </c>
      <c r="C143" s="30" t="s">
        <v>12</v>
      </c>
      <c r="D143" s="30" t="s">
        <v>24</v>
      </c>
      <c r="E143" s="31">
        <v>45139</v>
      </c>
      <c r="F143" s="29">
        <v>8</v>
      </c>
      <c r="G143" s="29">
        <v>583</v>
      </c>
      <c r="H143" s="28">
        <v>4664</v>
      </c>
      <c r="I143" s="29">
        <v>1500</v>
      </c>
      <c r="J143" s="29">
        <v>2023</v>
      </c>
      <c r="K143" s="30" t="s">
        <v>65</v>
      </c>
      <c r="L143" s="30" t="s">
        <v>70</v>
      </c>
    </row>
    <row r="144" spans="1:12" ht="14.25" customHeight="1" x14ac:dyDescent="0.3">
      <c r="A144" s="29">
        <v>143</v>
      </c>
      <c r="B144" s="30" t="s">
        <v>8</v>
      </c>
      <c r="C144" s="30" t="s">
        <v>15</v>
      </c>
      <c r="D144" s="30" t="s">
        <v>22</v>
      </c>
      <c r="E144" s="31">
        <v>45123</v>
      </c>
      <c r="F144" s="29">
        <v>4</v>
      </c>
      <c r="G144" s="29">
        <v>713</v>
      </c>
      <c r="H144" s="28">
        <v>2852</v>
      </c>
      <c r="I144" s="29">
        <v>1500</v>
      </c>
      <c r="J144" s="29">
        <v>2023</v>
      </c>
      <c r="K144" s="30" t="s">
        <v>65</v>
      </c>
      <c r="L144" s="30" t="s">
        <v>66</v>
      </c>
    </row>
    <row r="145" spans="1:12" ht="14.25" customHeight="1" x14ac:dyDescent="0.3">
      <c r="A145" s="29">
        <v>144</v>
      </c>
      <c r="B145" s="30" t="s">
        <v>9</v>
      </c>
      <c r="C145" s="30" t="s">
        <v>14</v>
      </c>
      <c r="D145" s="30" t="s">
        <v>31</v>
      </c>
      <c r="E145" s="31">
        <v>45101</v>
      </c>
      <c r="F145" s="29">
        <v>9</v>
      </c>
      <c r="G145" s="29">
        <v>373</v>
      </c>
      <c r="H145" s="28">
        <v>3357</v>
      </c>
      <c r="I145" s="29">
        <v>1000</v>
      </c>
      <c r="J145" s="29">
        <v>2023</v>
      </c>
      <c r="K145" s="30" t="s">
        <v>56</v>
      </c>
      <c r="L145" s="30" t="s">
        <v>64</v>
      </c>
    </row>
    <row r="146" spans="1:12" ht="14.25" customHeight="1" x14ac:dyDescent="0.3">
      <c r="A146" s="29">
        <v>145</v>
      </c>
      <c r="B146" s="30" t="s">
        <v>6</v>
      </c>
      <c r="C146" s="30" t="s">
        <v>13</v>
      </c>
      <c r="D146" s="30" t="s">
        <v>25</v>
      </c>
      <c r="E146" s="31">
        <v>45227</v>
      </c>
      <c r="F146" s="29">
        <v>10</v>
      </c>
      <c r="G146" s="29">
        <v>775</v>
      </c>
      <c r="H146" s="28">
        <v>7750</v>
      </c>
      <c r="I146" s="29">
        <v>2500</v>
      </c>
      <c r="J146" s="29">
        <v>2023</v>
      </c>
      <c r="K146" s="30" t="s">
        <v>61</v>
      </c>
      <c r="L146" s="30" t="s">
        <v>62</v>
      </c>
    </row>
    <row r="147" spans="1:12" ht="14.25" customHeight="1" x14ac:dyDescent="0.3">
      <c r="A147" s="29">
        <v>146</v>
      </c>
      <c r="B147" s="30" t="s">
        <v>9</v>
      </c>
      <c r="C147" s="30" t="s">
        <v>16</v>
      </c>
      <c r="D147" s="30" t="s">
        <v>33</v>
      </c>
      <c r="E147" s="31">
        <v>45103</v>
      </c>
      <c r="F147" s="29">
        <v>6</v>
      </c>
      <c r="G147" s="29">
        <v>665</v>
      </c>
      <c r="H147" s="28">
        <v>3990</v>
      </c>
      <c r="I147" s="29">
        <v>2500</v>
      </c>
      <c r="J147" s="29">
        <v>2023</v>
      </c>
      <c r="K147" s="30" t="s">
        <v>56</v>
      </c>
      <c r="L147" s="30" t="s">
        <v>64</v>
      </c>
    </row>
    <row r="148" spans="1:12" ht="14.25" customHeight="1" x14ac:dyDescent="0.3">
      <c r="A148" s="29">
        <v>147</v>
      </c>
      <c r="B148" s="30" t="s">
        <v>8</v>
      </c>
      <c r="C148" s="30" t="s">
        <v>15</v>
      </c>
      <c r="D148" s="30" t="s">
        <v>27</v>
      </c>
      <c r="E148" s="31">
        <v>45284</v>
      </c>
      <c r="F148" s="29">
        <v>4</v>
      </c>
      <c r="G148" s="29">
        <v>685</v>
      </c>
      <c r="H148" s="28">
        <v>2740</v>
      </c>
      <c r="I148" s="29">
        <v>2500</v>
      </c>
      <c r="J148" s="29">
        <v>2023</v>
      </c>
      <c r="K148" s="30" t="s">
        <v>61</v>
      </c>
      <c r="L148" s="30" t="s">
        <v>67</v>
      </c>
    </row>
    <row r="149" spans="1:12" ht="14.25" customHeight="1" x14ac:dyDescent="0.3">
      <c r="A149" s="29">
        <v>148</v>
      </c>
      <c r="B149" s="30" t="s">
        <v>7</v>
      </c>
      <c r="C149" s="30" t="s">
        <v>16</v>
      </c>
      <c r="D149" s="30" t="s">
        <v>33</v>
      </c>
      <c r="E149" s="31">
        <v>45089</v>
      </c>
      <c r="F149" s="29">
        <v>8</v>
      </c>
      <c r="G149" s="29">
        <v>822</v>
      </c>
      <c r="H149" s="28">
        <v>6576</v>
      </c>
      <c r="I149" s="29">
        <v>2500</v>
      </c>
      <c r="J149" s="29">
        <v>2023</v>
      </c>
      <c r="K149" s="30" t="s">
        <v>56</v>
      </c>
      <c r="L149" s="30" t="s">
        <v>64</v>
      </c>
    </row>
    <row r="150" spans="1:12" ht="14.25" customHeight="1" x14ac:dyDescent="0.3">
      <c r="A150" s="29">
        <v>149</v>
      </c>
      <c r="B150" s="30" t="s">
        <v>8</v>
      </c>
      <c r="C150" s="30" t="s">
        <v>15</v>
      </c>
      <c r="D150" s="30" t="s">
        <v>22</v>
      </c>
      <c r="E150" s="31">
        <v>45180</v>
      </c>
      <c r="F150" s="29">
        <v>1</v>
      </c>
      <c r="G150" s="29">
        <v>229</v>
      </c>
      <c r="H150" s="28">
        <v>229</v>
      </c>
      <c r="I150" s="29">
        <v>2000</v>
      </c>
      <c r="J150" s="29">
        <v>2023</v>
      </c>
      <c r="K150" s="30" t="s">
        <v>65</v>
      </c>
      <c r="L150" s="30" t="s">
        <v>71</v>
      </c>
    </row>
    <row r="151" spans="1:12" ht="14.25" customHeight="1" x14ac:dyDescent="0.3">
      <c r="A151" s="29">
        <v>150</v>
      </c>
      <c r="B151" s="30" t="s">
        <v>7</v>
      </c>
      <c r="C151" s="30" t="s">
        <v>14</v>
      </c>
      <c r="D151" s="30" t="s">
        <v>31</v>
      </c>
      <c r="E151" s="31">
        <v>45196</v>
      </c>
      <c r="F151" s="29">
        <v>8</v>
      </c>
      <c r="G151" s="29">
        <v>115</v>
      </c>
      <c r="H151" s="28">
        <v>920</v>
      </c>
      <c r="I151" s="29">
        <v>1500</v>
      </c>
      <c r="J151" s="29">
        <v>2023</v>
      </c>
      <c r="K151" s="30" t="s">
        <v>65</v>
      </c>
      <c r="L151" s="30" t="s">
        <v>71</v>
      </c>
    </row>
    <row r="152" spans="1:12" ht="14.25" customHeight="1" x14ac:dyDescent="0.3">
      <c r="A152" s="29">
        <v>151</v>
      </c>
      <c r="B152" s="30" t="s">
        <v>8</v>
      </c>
      <c r="C152" s="30" t="s">
        <v>15</v>
      </c>
      <c r="D152" s="30" t="s">
        <v>22</v>
      </c>
      <c r="E152" s="31">
        <v>44965</v>
      </c>
      <c r="F152" s="29">
        <v>8</v>
      </c>
      <c r="G152" s="29">
        <v>900</v>
      </c>
      <c r="H152" s="28">
        <v>7200</v>
      </c>
      <c r="I152" s="29">
        <v>2000</v>
      </c>
      <c r="J152" s="29">
        <v>2023</v>
      </c>
      <c r="K152" s="30" t="s">
        <v>59</v>
      </c>
      <c r="L152" s="30" t="s">
        <v>68</v>
      </c>
    </row>
    <row r="153" spans="1:12" ht="14.25" customHeight="1" x14ac:dyDescent="0.3">
      <c r="A153" s="29">
        <v>152</v>
      </c>
      <c r="B153" s="30" t="s">
        <v>9</v>
      </c>
      <c r="C153" s="30" t="s">
        <v>13</v>
      </c>
      <c r="D153" s="30" t="s">
        <v>25</v>
      </c>
      <c r="E153" s="31">
        <v>45259</v>
      </c>
      <c r="F153" s="29">
        <v>2</v>
      </c>
      <c r="G153" s="29">
        <v>972</v>
      </c>
      <c r="H153" s="28">
        <v>1944</v>
      </c>
      <c r="I153" s="29">
        <v>2000</v>
      </c>
      <c r="J153" s="29">
        <v>2023</v>
      </c>
      <c r="K153" s="30" t="s">
        <v>61</v>
      </c>
      <c r="L153" s="30" t="s">
        <v>72</v>
      </c>
    </row>
    <row r="154" spans="1:12" ht="14.25" customHeight="1" x14ac:dyDescent="0.3">
      <c r="A154" s="29">
        <v>153</v>
      </c>
      <c r="B154" s="30" t="s">
        <v>6</v>
      </c>
      <c r="C154" s="30" t="s">
        <v>12</v>
      </c>
      <c r="D154" s="30" t="s">
        <v>29</v>
      </c>
      <c r="E154" s="31">
        <v>45247</v>
      </c>
      <c r="F154" s="29">
        <v>8</v>
      </c>
      <c r="G154" s="29">
        <v>993</v>
      </c>
      <c r="H154" s="28">
        <v>7944</v>
      </c>
      <c r="I154" s="29">
        <v>1000</v>
      </c>
      <c r="J154" s="29">
        <v>2023</v>
      </c>
      <c r="K154" s="30" t="s">
        <v>61</v>
      </c>
      <c r="L154" s="30" t="s">
        <v>72</v>
      </c>
    </row>
    <row r="155" spans="1:12" ht="14.25" customHeight="1" x14ac:dyDescent="0.3">
      <c r="A155" s="29">
        <v>154</v>
      </c>
      <c r="B155" s="30" t="s">
        <v>8</v>
      </c>
      <c r="C155" s="30" t="s">
        <v>12</v>
      </c>
      <c r="D155" s="30" t="s">
        <v>21</v>
      </c>
      <c r="E155" s="31">
        <v>45250</v>
      </c>
      <c r="F155" s="29">
        <v>5</v>
      </c>
      <c r="G155" s="29">
        <v>332</v>
      </c>
      <c r="H155" s="28">
        <v>1660</v>
      </c>
      <c r="I155" s="29">
        <v>1000</v>
      </c>
      <c r="J155" s="29">
        <v>2023</v>
      </c>
      <c r="K155" s="30" t="s">
        <v>61</v>
      </c>
      <c r="L155" s="30" t="s">
        <v>72</v>
      </c>
    </row>
    <row r="156" spans="1:12" ht="14.25" customHeight="1" x14ac:dyDescent="0.3">
      <c r="A156" s="29">
        <v>155</v>
      </c>
      <c r="B156" s="30" t="s">
        <v>7</v>
      </c>
      <c r="C156" s="30" t="s">
        <v>15</v>
      </c>
      <c r="D156" s="30" t="s">
        <v>19</v>
      </c>
      <c r="E156" s="31">
        <v>45154</v>
      </c>
      <c r="F156" s="29">
        <v>3</v>
      </c>
      <c r="G156" s="29">
        <v>810</v>
      </c>
      <c r="H156" s="28">
        <v>2430</v>
      </c>
      <c r="I156" s="29">
        <v>2000</v>
      </c>
      <c r="J156" s="29">
        <v>2023</v>
      </c>
      <c r="K156" s="30" t="s">
        <v>65</v>
      </c>
      <c r="L156" s="30" t="s">
        <v>70</v>
      </c>
    </row>
    <row r="157" spans="1:12" ht="14.25" customHeight="1" x14ac:dyDescent="0.3">
      <c r="A157" s="29">
        <v>156</v>
      </c>
      <c r="B157" s="30" t="s">
        <v>6</v>
      </c>
      <c r="C157" s="30" t="s">
        <v>14</v>
      </c>
      <c r="D157" s="30" t="s">
        <v>26</v>
      </c>
      <c r="E157" s="31">
        <v>44955</v>
      </c>
      <c r="F157" s="29">
        <v>5</v>
      </c>
      <c r="G157" s="29">
        <v>467</v>
      </c>
      <c r="H157" s="28">
        <v>2335</v>
      </c>
      <c r="I157" s="29">
        <v>2000</v>
      </c>
      <c r="J157" s="29">
        <v>2023</v>
      </c>
      <c r="K157" s="30" t="s">
        <v>59</v>
      </c>
      <c r="L157" s="30" t="s">
        <v>60</v>
      </c>
    </row>
    <row r="158" spans="1:12" ht="14.25" customHeight="1" x14ac:dyDescent="0.3">
      <c r="A158" s="29">
        <v>157</v>
      </c>
      <c r="B158" s="30" t="s">
        <v>8</v>
      </c>
      <c r="C158" s="30" t="s">
        <v>15</v>
      </c>
      <c r="D158" s="30" t="s">
        <v>19</v>
      </c>
      <c r="E158" s="31">
        <v>45198</v>
      </c>
      <c r="F158" s="29">
        <v>7</v>
      </c>
      <c r="G158" s="29">
        <v>679</v>
      </c>
      <c r="H158" s="28">
        <v>4753</v>
      </c>
      <c r="I158" s="29">
        <v>1500</v>
      </c>
      <c r="J158" s="29">
        <v>2023</v>
      </c>
      <c r="K158" s="30" t="s">
        <v>65</v>
      </c>
      <c r="L158" s="30" t="s">
        <v>71</v>
      </c>
    </row>
    <row r="159" spans="1:12" ht="14.25" customHeight="1" x14ac:dyDescent="0.3">
      <c r="A159" s="29">
        <v>158</v>
      </c>
      <c r="B159" s="30" t="s">
        <v>7</v>
      </c>
      <c r="C159" s="30" t="s">
        <v>16</v>
      </c>
      <c r="D159" s="30" t="s">
        <v>20</v>
      </c>
      <c r="E159" s="31">
        <v>45239</v>
      </c>
      <c r="F159" s="29">
        <v>7</v>
      </c>
      <c r="G159" s="29">
        <v>734</v>
      </c>
      <c r="H159" s="28">
        <v>5138</v>
      </c>
      <c r="I159" s="29">
        <v>1500</v>
      </c>
      <c r="J159" s="29">
        <v>2023</v>
      </c>
      <c r="K159" s="30" t="s">
        <v>61</v>
      </c>
      <c r="L159" s="30" t="s">
        <v>72</v>
      </c>
    </row>
    <row r="160" spans="1:12" ht="14.25" customHeight="1" x14ac:dyDescent="0.3">
      <c r="A160" s="29">
        <v>159</v>
      </c>
      <c r="B160" s="30" t="s">
        <v>8</v>
      </c>
      <c r="C160" s="30" t="s">
        <v>15</v>
      </c>
      <c r="D160" s="30" t="s">
        <v>22</v>
      </c>
      <c r="E160" s="31">
        <v>45045</v>
      </c>
      <c r="F160" s="29">
        <v>8</v>
      </c>
      <c r="G160" s="29">
        <v>753</v>
      </c>
      <c r="H160" s="28">
        <v>6024</v>
      </c>
      <c r="I160" s="29">
        <v>2000</v>
      </c>
      <c r="J160" s="29">
        <v>2023</v>
      </c>
      <c r="K160" s="30" t="s">
        <v>56</v>
      </c>
      <c r="L160" s="30" t="s">
        <v>63</v>
      </c>
    </row>
    <row r="161" spans="1:12" ht="14.25" customHeight="1" x14ac:dyDescent="0.3">
      <c r="A161" s="29">
        <v>160</v>
      </c>
      <c r="B161" s="30" t="s">
        <v>7</v>
      </c>
      <c r="C161" s="30" t="s">
        <v>15</v>
      </c>
      <c r="D161" s="30" t="s">
        <v>27</v>
      </c>
      <c r="E161" s="31">
        <v>45165</v>
      </c>
      <c r="F161" s="29">
        <v>5</v>
      </c>
      <c r="G161" s="29">
        <v>793</v>
      </c>
      <c r="H161" s="28">
        <v>3965</v>
      </c>
      <c r="I161" s="29">
        <v>1500</v>
      </c>
      <c r="J161" s="29">
        <v>2023</v>
      </c>
      <c r="K161" s="30" t="s">
        <v>65</v>
      </c>
      <c r="L161" s="30" t="s">
        <v>70</v>
      </c>
    </row>
    <row r="162" spans="1:12" ht="14.25" customHeight="1" x14ac:dyDescent="0.3">
      <c r="A162" s="29">
        <v>161</v>
      </c>
      <c r="B162" s="30" t="s">
        <v>6</v>
      </c>
      <c r="C162" s="30" t="s">
        <v>14</v>
      </c>
      <c r="D162" s="30" t="s">
        <v>31</v>
      </c>
      <c r="E162" s="31">
        <v>45227</v>
      </c>
      <c r="F162" s="29">
        <v>5</v>
      </c>
      <c r="G162" s="29">
        <v>754</v>
      </c>
      <c r="H162" s="28">
        <v>3770</v>
      </c>
      <c r="I162" s="29">
        <v>2500</v>
      </c>
      <c r="J162" s="29">
        <v>2023</v>
      </c>
      <c r="K162" s="30" t="s">
        <v>61</v>
      </c>
      <c r="L162" s="30" t="s">
        <v>62</v>
      </c>
    </row>
    <row r="163" spans="1:12" ht="14.25" customHeight="1" x14ac:dyDescent="0.3">
      <c r="A163" s="29">
        <v>162</v>
      </c>
      <c r="B163" s="30" t="s">
        <v>6</v>
      </c>
      <c r="C163" s="30" t="s">
        <v>13</v>
      </c>
      <c r="D163" s="30" t="s">
        <v>28</v>
      </c>
      <c r="E163" s="31">
        <v>45028</v>
      </c>
      <c r="F163" s="29">
        <v>7</v>
      </c>
      <c r="G163" s="29">
        <v>973</v>
      </c>
      <c r="H163" s="28">
        <v>6811</v>
      </c>
      <c r="I163" s="29">
        <v>2500</v>
      </c>
      <c r="J163" s="29">
        <v>2023</v>
      </c>
      <c r="K163" s="30" t="s">
        <v>56</v>
      </c>
      <c r="L163" s="30" t="s">
        <v>63</v>
      </c>
    </row>
    <row r="164" spans="1:12" ht="14.25" customHeight="1" x14ac:dyDescent="0.3">
      <c r="A164" s="29">
        <v>163</v>
      </c>
      <c r="B164" s="30" t="s">
        <v>9</v>
      </c>
      <c r="C164" s="30" t="s">
        <v>14</v>
      </c>
      <c r="D164" s="30" t="s">
        <v>26</v>
      </c>
      <c r="E164" s="31">
        <v>45219</v>
      </c>
      <c r="F164" s="29">
        <v>6</v>
      </c>
      <c r="G164" s="29">
        <v>688</v>
      </c>
      <c r="H164" s="28">
        <v>4128</v>
      </c>
      <c r="I164" s="29">
        <v>2000</v>
      </c>
      <c r="J164" s="29">
        <v>2023</v>
      </c>
      <c r="K164" s="30" t="s">
        <v>61</v>
      </c>
      <c r="L164" s="30" t="s">
        <v>62</v>
      </c>
    </row>
    <row r="165" spans="1:12" ht="14.25" customHeight="1" x14ac:dyDescent="0.3">
      <c r="A165" s="29">
        <v>164</v>
      </c>
      <c r="B165" s="30" t="s">
        <v>9</v>
      </c>
      <c r="C165" s="30" t="s">
        <v>13</v>
      </c>
      <c r="D165" s="30" t="s">
        <v>30</v>
      </c>
      <c r="E165" s="31">
        <v>45067</v>
      </c>
      <c r="F165" s="29">
        <v>1</v>
      </c>
      <c r="G165" s="29">
        <v>679</v>
      </c>
      <c r="H165" s="28">
        <v>679</v>
      </c>
      <c r="I165" s="29">
        <v>1000</v>
      </c>
      <c r="J165" s="29">
        <v>2023</v>
      </c>
      <c r="K165" s="30" t="s">
        <v>56</v>
      </c>
      <c r="L165" s="30" t="s">
        <v>57</v>
      </c>
    </row>
    <row r="166" spans="1:12" ht="14.25" customHeight="1" x14ac:dyDescent="0.3">
      <c r="A166" s="29">
        <v>165</v>
      </c>
      <c r="B166" s="30" t="s">
        <v>9</v>
      </c>
      <c r="C166" s="30" t="s">
        <v>12</v>
      </c>
      <c r="D166" s="30" t="s">
        <v>24</v>
      </c>
      <c r="E166" s="31">
        <v>45073</v>
      </c>
      <c r="F166" s="29">
        <v>4</v>
      </c>
      <c r="G166" s="29">
        <v>721</v>
      </c>
      <c r="H166" s="28">
        <v>2884</v>
      </c>
      <c r="I166" s="29">
        <v>2000</v>
      </c>
      <c r="J166" s="29">
        <v>2023</v>
      </c>
      <c r="K166" s="30" t="s">
        <v>56</v>
      </c>
      <c r="L166" s="30" t="s">
        <v>57</v>
      </c>
    </row>
    <row r="167" spans="1:12" ht="14.25" customHeight="1" x14ac:dyDescent="0.3">
      <c r="A167" s="29">
        <v>166</v>
      </c>
      <c r="B167" s="30" t="s">
        <v>8</v>
      </c>
      <c r="C167" s="30" t="s">
        <v>16</v>
      </c>
      <c r="D167" s="30" t="s">
        <v>32</v>
      </c>
      <c r="E167" s="31">
        <v>45244</v>
      </c>
      <c r="F167" s="29">
        <v>5</v>
      </c>
      <c r="G167" s="29">
        <v>794</v>
      </c>
      <c r="H167" s="28">
        <v>3970</v>
      </c>
      <c r="I167" s="29">
        <v>1500</v>
      </c>
      <c r="J167" s="29">
        <v>2023</v>
      </c>
      <c r="K167" s="30" t="s">
        <v>61</v>
      </c>
      <c r="L167" s="30" t="s">
        <v>72</v>
      </c>
    </row>
    <row r="168" spans="1:12" ht="14.25" customHeight="1" x14ac:dyDescent="0.3">
      <c r="A168" s="29">
        <v>167</v>
      </c>
      <c r="B168" s="30" t="s">
        <v>7</v>
      </c>
      <c r="C168" s="30" t="s">
        <v>14</v>
      </c>
      <c r="D168" s="30" t="s">
        <v>23</v>
      </c>
      <c r="E168" s="31">
        <v>45085</v>
      </c>
      <c r="F168" s="29">
        <v>8</v>
      </c>
      <c r="G168" s="29">
        <v>134</v>
      </c>
      <c r="H168" s="28">
        <v>1072</v>
      </c>
      <c r="I168" s="29">
        <v>2000</v>
      </c>
      <c r="J168" s="29">
        <v>2023</v>
      </c>
      <c r="K168" s="30" t="s">
        <v>56</v>
      </c>
      <c r="L168" s="30" t="s">
        <v>64</v>
      </c>
    </row>
    <row r="169" spans="1:12" ht="14.25" customHeight="1" x14ac:dyDescent="0.3">
      <c r="A169" s="29">
        <v>168</v>
      </c>
      <c r="B169" s="30" t="s">
        <v>6</v>
      </c>
      <c r="C169" s="30" t="s">
        <v>16</v>
      </c>
      <c r="D169" s="30" t="s">
        <v>20</v>
      </c>
      <c r="E169" s="31">
        <v>45094</v>
      </c>
      <c r="F169" s="29">
        <v>7</v>
      </c>
      <c r="G169" s="29">
        <v>279</v>
      </c>
      <c r="H169" s="28">
        <v>1953</v>
      </c>
      <c r="I169" s="29">
        <v>1500</v>
      </c>
      <c r="J169" s="29">
        <v>2023</v>
      </c>
      <c r="K169" s="30" t="s">
        <v>56</v>
      </c>
      <c r="L169" s="30" t="s">
        <v>64</v>
      </c>
    </row>
    <row r="170" spans="1:12" ht="14.25" customHeight="1" x14ac:dyDescent="0.3">
      <c r="A170" s="29">
        <v>169</v>
      </c>
      <c r="B170" s="30" t="s">
        <v>6</v>
      </c>
      <c r="C170" s="30" t="s">
        <v>16</v>
      </c>
      <c r="D170" s="30" t="s">
        <v>32</v>
      </c>
      <c r="E170" s="31">
        <v>45198</v>
      </c>
      <c r="F170" s="29">
        <v>9</v>
      </c>
      <c r="G170" s="29">
        <v>379</v>
      </c>
      <c r="H170" s="28">
        <v>3411</v>
      </c>
      <c r="I170" s="29">
        <v>1500</v>
      </c>
      <c r="J170" s="29">
        <v>2023</v>
      </c>
      <c r="K170" s="30" t="s">
        <v>65</v>
      </c>
      <c r="L170" s="30" t="s">
        <v>71</v>
      </c>
    </row>
    <row r="171" spans="1:12" ht="14.25" customHeight="1" x14ac:dyDescent="0.3">
      <c r="A171" s="29">
        <v>170</v>
      </c>
      <c r="B171" s="30" t="s">
        <v>6</v>
      </c>
      <c r="C171" s="30" t="s">
        <v>13</v>
      </c>
      <c r="D171" s="30" t="s">
        <v>28</v>
      </c>
      <c r="E171" s="31">
        <v>45100</v>
      </c>
      <c r="F171" s="29">
        <v>2</v>
      </c>
      <c r="G171" s="29">
        <v>579</v>
      </c>
      <c r="H171" s="28">
        <v>1158</v>
      </c>
      <c r="I171" s="29">
        <v>1000</v>
      </c>
      <c r="J171" s="29">
        <v>2023</v>
      </c>
      <c r="K171" s="30" t="s">
        <v>56</v>
      </c>
      <c r="L171" s="30" t="s">
        <v>64</v>
      </c>
    </row>
    <row r="172" spans="1:12" ht="14.25" customHeight="1" x14ac:dyDescent="0.3">
      <c r="A172" s="29">
        <v>171</v>
      </c>
      <c r="B172" s="30" t="s">
        <v>9</v>
      </c>
      <c r="C172" s="30" t="s">
        <v>16</v>
      </c>
      <c r="D172" s="30" t="s">
        <v>20</v>
      </c>
      <c r="E172" s="31">
        <v>45212</v>
      </c>
      <c r="F172" s="29">
        <v>6</v>
      </c>
      <c r="G172" s="29">
        <v>192</v>
      </c>
      <c r="H172" s="28">
        <v>1152</v>
      </c>
      <c r="I172" s="29">
        <v>2500</v>
      </c>
      <c r="J172" s="29">
        <v>2023</v>
      </c>
      <c r="K172" s="30" t="s">
        <v>61</v>
      </c>
      <c r="L172" s="30" t="s">
        <v>62</v>
      </c>
    </row>
    <row r="173" spans="1:12" ht="14.25" customHeight="1" x14ac:dyDescent="0.3">
      <c r="A173" s="29">
        <v>172</v>
      </c>
      <c r="B173" s="30" t="s">
        <v>7</v>
      </c>
      <c r="C173" s="30" t="s">
        <v>14</v>
      </c>
      <c r="D173" s="30" t="s">
        <v>31</v>
      </c>
      <c r="E173" s="31">
        <v>45159</v>
      </c>
      <c r="F173" s="29">
        <v>6</v>
      </c>
      <c r="G173" s="29">
        <v>788</v>
      </c>
      <c r="H173" s="28">
        <v>4728</v>
      </c>
      <c r="I173" s="29">
        <v>2000</v>
      </c>
      <c r="J173" s="29">
        <v>2023</v>
      </c>
      <c r="K173" s="30" t="s">
        <v>65</v>
      </c>
      <c r="L173" s="30" t="s">
        <v>70</v>
      </c>
    </row>
    <row r="174" spans="1:12" ht="14.25" customHeight="1" x14ac:dyDescent="0.3">
      <c r="A174" s="29">
        <v>173</v>
      </c>
      <c r="B174" s="30" t="s">
        <v>6</v>
      </c>
      <c r="C174" s="30" t="s">
        <v>12</v>
      </c>
      <c r="D174" s="30" t="s">
        <v>29</v>
      </c>
      <c r="E174" s="31">
        <v>44982</v>
      </c>
      <c r="F174" s="29">
        <v>4</v>
      </c>
      <c r="G174" s="29">
        <v>582</v>
      </c>
      <c r="H174" s="28">
        <v>2328</v>
      </c>
      <c r="I174" s="29">
        <v>1000</v>
      </c>
      <c r="J174" s="29">
        <v>2023</v>
      </c>
      <c r="K174" s="30" t="s">
        <v>59</v>
      </c>
      <c r="L174" s="30" t="s">
        <v>68</v>
      </c>
    </row>
    <row r="175" spans="1:12" ht="14.25" customHeight="1" x14ac:dyDescent="0.3">
      <c r="A175" s="29">
        <v>174</v>
      </c>
      <c r="B175" s="30" t="s">
        <v>6</v>
      </c>
      <c r="C175" s="30" t="s">
        <v>12</v>
      </c>
      <c r="D175" s="30" t="s">
        <v>24</v>
      </c>
      <c r="E175" s="31">
        <v>45239</v>
      </c>
      <c r="F175" s="29">
        <v>4</v>
      </c>
      <c r="G175" s="29">
        <v>763</v>
      </c>
      <c r="H175" s="28">
        <v>3052</v>
      </c>
      <c r="I175" s="29">
        <v>1000</v>
      </c>
      <c r="J175" s="29">
        <v>2023</v>
      </c>
      <c r="K175" s="30" t="s">
        <v>61</v>
      </c>
      <c r="L175" s="30" t="s">
        <v>72</v>
      </c>
    </row>
    <row r="176" spans="1:12" ht="14.25" customHeight="1" x14ac:dyDescent="0.3">
      <c r="A176" s="29">
        <v>175</v>
      </c>
      <c r="B176" s="30" t="s">
        <v>6</v>
      </c>
      <c r="C176" s="30" t="s">
        <v>15</v>
      </c>
      <c r="D176" s="30" t="s">
        <v>22</v>
      </c>
      <c r="E176" s="31">
        <v>45259</v>
      </c>
      <c r="F176" s="29">
        <v>7</v>
      </c>
      <c r="G176" s="29">
        <v>219</v>
      </c>
      <c r="H176" s="28">
        <v>1533</v>
      </c>
      <c r="I176" s="29">
        <v>1500</v>
      </c>
      <c r="J176" s="29">
        <v>2023</v>
      </c>
      <c r="K176" s="30" t="s">
        <v>61</v>
      </c>
      <c r="L176" s="30" t="s">
        <v>72</v>
      </c>
    </row>
    <row r="177" spans="1:12" ht="14.25" customHeight="1" x14ac:dyDescent="0.3">
      <c r="A177" s="29">
        <v>176</v>
      </c>
      <c r="B177" s="30" t="s">
        <v>6</v>
      </c>
      <c r="C177" s="30" t="s">
        <v>14</v>
      </c>
      <c r="D177" s="30" t="s">
        <v>26</v>
      </c>
      <c r="E177" s="31">
        <v>45179</v>
      </c>
      <c r="F177" s="29">
        <v>2</v>
      </c>
      <c r="G177" s="29">
        <v>199</v>
      </c>
      <c r="H177" s="28">
        <v>398</v>
      </c>
      <c r="I177" s="29">
        <v>1500</v>
      </c>
      <c r="J177" s="29">
        <v>2023</v>
      </c>
      <c r="K177" s="30" t="s">
        <v>65</v>
      </c>
      <c r="L177" s="30" t="s">
        <v>71</v>
      </c>
    </row>
    <row r="178" spans="1:12" ht="14.25" customHeight="1" x14ac:dyDescent="0.3">
      <c r="A178" s="29">
        <v>177</v>
      </c>
      <c r="B178" s="30" t="s">
        <v>9</v>
      </c>
      <c r="C178" s="30" t="s">
        <v>12</v>
      </c>
      <c r="D178" s="30" t="s">
        <v>21</v>
      </c>
      <c r="E178" s="31">
        <v>45159</v>
      </c>
      <c r="F178" s="29">
        <v>6</v>
      </c>
      <c r="G178" s="29">
        <v>786</v>
      </c>
      <c r="H178" s="28">
        <v>4716</v>
      </c>
      <c r="I178" s="29">
        <v>2500</v>
      </c>
      <c r="J178" s="29">
        <v>2023</v>
      </c>
      <c r="K178" s="30" t="s">
        <v>65</v>
      </c>
      <c r="L178" s="30" t="s">
        <v>70</v>
      </c>
    </row>
    <row r="179" spans="1:12" ht="14.25" customHeight="1" x14ac:dyDescent="0.3">
      <c r="A179" s="29">
        <v>178</v>
      </c>
      <c r="B179" s="30" t="s">
        <v>8</v>
      </c>
      <c r="C179" s="30" t="s">
        <v>12</v>
      </c>
      <c r="D179" s="30" t="s">
        <v>24</v>
      </c>
      <c r="E179" s="31">
        <v>45139</v>
      </c>
      <c r="F179" s="29">
        <v>2</v>
      </c>
      <c r="G179" s="29">
        <v>953</v>
      </c>
      <c r="H179" s="28">
        <v>1906</v>
      </c>
      <c r="I179" s="29">
        <v>2500</v>
      </c>
      <c r="J179" s="29">
        <v>2023</v>
      </c>
      <c r="K179" s="30" t="s">
        <v>65</v>
      </c>
      <c r="L179" s="30" t="s">
        <v>70</v>
      </c>
    </row>
    <row r="180" spans="1:12" ht="14.25" customHeight="1" x14ac:dyDescent="0.3">
      <c r="A180" s="29">
        <v>179</v>
      </c>
      <c r="B180" s="30" t="s">
        <v>6</v>
      </c>
      <c r="C180" s="30" t="s">
        <v>12</v>
      </c>
      <c r="D180" s="30" t="s">
        <v>29</v>
      </c>
      <c r="E180" s="31">
        <v>44943</v>
      </c>
      <c r="F180" s="29">
        <v>6</v>
      </c>
      <c r="G180" s="29">
        <v>322</v>
      </c>
      <c r="H180" s="28">
        <v>1932</v>
      </c>
      <c r="I180" s="29">
        <v>2500</v>
      </c>
      <c r="J180" s="29">
        <v>2023</v>
      </c>
      <c r="K180" s="30" t="s">
        <v>59</v>
      </c>
      <c r="L180" s="30" t="s">
        <v>60</v>
      </c>
    </row>
    <row r="181" spans="1:12" ht="14.25" customHeight="1" x14ac:dyDescent="0.3">
      <c r="A181" s="29">
        <v>180</v>
      </c>
      <c r="B181" s="30" t="s">
        <v>6</v>
      </c>
      <c r="C181" s="30" t="s">
        <v>15</v>
      </c>
      <c r="D181" s="30" t="s">
        <v>19</v>
      </c>
      <c r="E181" s="31">
        <v>44977</v>
      </c>
      <c r="F181" s="29">
        <v>6</v>
      </c>
      <c r="G181" s="29">
        <v>657</v>
      </c>
      <c r="H181" s="28">
        <v>3942</v>
      </c>
      <c r="I181" s="29">
        <v>2000</v>
      </c>
      <c r="J181" s="29">
        <v>2023</v>
      </c>
      <c r="K181" s="30" t="s">
        <v>59</v>
      </c>
      <c r="L181" s="30" t="s">
        <v>68</v>
      </c>
    </row>
    <row r="182" spans="1:12" ht="14.25" customHeight="1" x14ac:dyDescent="0.3">
      <c r="A182" s="29">
        <v>181</v>
      </c>
      <c r="B182" s="30" t="s">
        <v>6</v>
      </c>
      <c r="C182" s="30" t="s">
        <v>14</v>
      </c>
      <c r="D182" s="30" t="s">
        <v>31</v>
      </c>
      <c r="E182" s="31">
        <v>45024</v>
      </c>
      <c r="F182" s="29">
        <v>2</v>
      </c>
      <c r="G182" s="29">
        <v>968</v>
      </c>
      <c r="H182" s="28">
        <v>1936</v>
      </c>
      <c r="I182" s="29">
        <v>2500</v>
      </c>
      <c r="J182" s="29">
        <v>2023</v>
      </c>
      <c r="K182" s="30" t="s">
        <v>56</v>
      </c>
      <c r="L182" s="30" t="s">
        <v>63</v>
      </c>
    </row>
    <row r="183" spans="1:12" ht="14.25" customHeight="1" x14ac:dyDescent="0.3">
      <c r="A183" s="29">
        <v>182</v>
      </c>
      <c r="B183" s="30" t="s">
        <v>8</v>
      </c>
      <c r="C183" s="30" t="s">
        <v>14</v>
      </c>
      <c r="D183" s="30" t="s">
        <v>23</v>
      </c>
      <c r="E183" s="31">
        <v>45255</v>
      </c>
      <c r="F183" s="29">
        <v>10</v>
      </c>
      <c r="G183" s="29">
        <v>121</v>
      </c>
      <c r="H183" s="28">
        <v>1210</v>
      </c>
      <c r="I183" s="29">
        <v>1000</v>
      </c>
      <c r="J183" s="29">
        <v>2023</v>
      </c>
      <c r="K183" s="30" t="s">
        <v>61</v>
      </c>
      <c r="L183" s="30" t="s">
        <v>72</v>
      </c>
    </row>
    <row r="184" spans="1:12" ht="14.25" customHeight="1" x14ac:dyDescent="0.3">
      <c r="A184" s="29">
        <v>183</v>
      </c>
      <c r="B184" s="30" t="s">
        <v>8</v>
      </c>
      <c r="C184" s="30" t="s">
        <v>13</v>
      </c>
      <c r="D184" s="30" t="s">
        <v>30</v>
      </c>
      <c r="E184" s="31">
        <v>45216</v>
      </c>
      <c r="F184" s="29">
        <v>4</v>
      </c>
      <c r="G184" s="29">
        <v>170</v>
      </c>
      <c r="H184" s="28">
        <v>680</v>
      </c>
      <c r="I184" s="29">
        <v>1500</v>
      </c>
      <c r="J184" s="29">
        <v>2023</v>
      </c>
      <c r="K184" s="30" t="s">
        <v>61</v>
      </c>
      <c r="L184" s="30" t="s">
        <v>62</v>
      </c>
    </row>
    <row r="185" spans="1:12" ht="14.25" customHeight="1" x14ac:dyDescent="0.3">
      <c r="A185" s="29">
        <v>184</v>
      </c>
      <c r="B185" s="30" t="s">
        <v>8</v>
      </c>
      <c r="C185" s="30" t="s">
        <v>12</v>
      </c>
      <c r="D185" s="30" t="s">
        <v>21</v>
      </c>
      <c r="E185" s="31">
        <v>45095</v>
      </c>
      <c r="F185" s="29">
        <v>3</v>
      </c>
      <c r="G185" s="29">
        <v>907</v>
      </c>
      <c r="H185" s="28">
        <v>2721</v>
      </c>
      <c r="I185" s="29">
        <v>1000</v>
      </c>
      <c r="J185" s="29">
        <v>2023</v>
      </c>
      <c r="K185" s="30" t="s">
        <v>56</v>
      </c>
      <c r="L185" s="30" t="s">
        <v>64</v>
      </c>
    </row>
    <row r="186" spans="1:12" ht="14.25" customHeight="1" x14ac:dyDescent="0.3">
      <c r="A186" s="29">
        <v>185</v>
      </c>
      <c r="B186" s="30" t="s">
        <v>8</v>
      </c>
      <c r="C186" s="30" t="s">
        <v>13</v>
      </c>
      <c r="D186" s="30" t="s">
        <v>30</v>
      </c>
      <c r="E186" s="31">
        <v>45203</v>
      </c>
      <c r="F186" s="29">
        <v>5</v>
      </c>
      <c r="G186" s="29">
        <v>917</v>
      </c>
      <c r="H186" s="28">
        <v>4585</v>
      </c>
      <c r="I186" s="29">
        <v>1500</v>
      </c>
      <c r="J186" s="29">
        <v>2023</v>
      </c>
      <c r="K186" s="30" t="s">
        <v>61</v>
      </c>
      <c r="L186" s="30" t="s">
        <v>62</v>
      </c>
    </row>
    <row r="187" spans="1:12" ht="14.25" customHeight="1" x14ac:dyDescent="0.3">
      <c r="A187" s="29">
        <v>186</v>
      </c>
      <c r="B187" s="30" t="s">
        <v>7</v>
      </c>
      <c r="C187" s="30" t="s">
        <v>14</v>
      </c>
      <c r="D187" s="30" t="s">
        <v>23</v>
      </c>
      <c r="E187" s="31">
        <v>44994</v>
      </c>
      <c r="F187" s="29">
        <v>1</v>
      </c>
      <c r="G187" s="29">
        <v>466</v>
      </c>
      <c r="H187" s="28">
        <v>466</v>
      </c>
      <c r="I187" s="29">
        <v>1500</v>
      </c>
      <c r="J187" s="29">
        <v>2023</v>
      </c>
      <c r="K187" s="30" t="s">
        <v>59</v>
      </c>
      <c r="L187" s="30" t="s">
        <v>69</v>
      </c>
    </row>
    <row r="188" spans="1:12" ht="14.25" customHeight="1" x14ac:dyDescent="0.3">
      <c r="A188" s="29">
        <v>187</v>
      </c>
      <c r="B188" s="30" t="s">
        <v>7</v>
      </c>
      <c r="C188" s="30" t="s">
        <v>12</v>
      </c>
      <c r="D188" s="30" t="s">
        <v>29</v>
      </c>
      <c r="E188" s="31">
        <v>45016</v>
      </c>
      <c r="F188" s="29">
        <v>5</v>
      </c>
      <c r="G188" s="29">
        <v>153</v>
      </c>
      <c r="H188" s="28">
        <v>765</v>
      </c>
      <c r="I188" s="29">
        <v>1500</v>
      </c>
      <c r="J188" s="29">
        <v>2023</v>
      </c>
      <c r="K188" s="30" t="s">
        <v>59</v>
      </c>
      <c r="L188" s="30" t="s">
        <v>69</v>
      </c>
    </row>
    <row r="189" spans="1:12" ht="14.25" customHeight="1" x14ac:dyDescent="0.3">
      <c r="A189" s="29">
        <v>188</v>
      </c>
      <c r="B189" s="30" t="s">
        <v>7</v>
      </c>
      <c r="C189" s="30" t="s">
        <v>15</v>
      </c>
      <c r="D189" s="30" t="s">
        <v>22</v>
      </c>
      <c r="E189" s="31">
        <v>44959</v>
      </c>
      <c r="F189" s="29">
        <v>8</v>
      </c>
      <c r="G189" s="29">
        <v>559</v>
      </c>
      <c r="H189" s="28">
        <v>4472</v>
      </c>
      <c r="I189" s="29">
        <v>2000</v>
      </c>
      <c r="J189" s="29">
        <v>2023</v>
      </c>
      <c r="K189" s="30" t="s">
        <v>59</v>
      </c>
      <c r="L189" s="30" t="s">
        <v>68</v>
      </c>
    </row>
    <row r="190" spans="1:12" ht="14.25" customHeight="1" x14ac:dyDescent="0.3">
      <c r="A190" s="29">
        <v>189</v>
      </c>
      <c r="B190" s="30" t="s">
        <v>7</v>
      </c>
      <c r="C190" s="30" t="s">
        <v>12</v>
      </c>
      <c r="D190" s="30" t="s">
        <v>24</v>
      </c>
      <c r="E190" s="31">
        <v>45158</v>
      </c>
      <c r="F190" s="29">
        <v>9</v>
      </c>
      <c r="G190" s="29">
        <v>326</v>
      </c>
      <c r="H190" s="28">
        <v>2934</v>
      </c>
      <c r="I190" s="29">
        <v>1000</v>
      </c>
      <c r="J190" s="29">
        <v>2023</v>
      </c>
      <c r="K190" s="30" t="s">
        <v>65</v>
      </c>
      <c r="L190" s="30" t="s">
        <v>70</v>
      </c>
    </row>
    <row r="191" spans="1:12" ht="14.25" customHeight="1" x14ac:dyDescent="0.3">
      <c r="A191" s="29">
        <v>190</v>
      </c>
      <c r="B191" s="30" t="s">
        <v>9</v>
      </c>
      <c r="C191" s="30" t="s">
        <v>12</v>
      </c>
      <c r="D191" s="30" t="s">
        <v>29</v>
      </c>
      <c r="E191" s="31">
        <v>45256</v>
      </c>
      <c r="F191" s="29">
        <v>1</v>
      </c>
      <c r="G191" s="29">
        <v>162</v>
      </c>
      <c r="H191" s="28">
        <v>162</v>
      </c>
      <c r="I191" s="29">
        <v>2500</v>
      </c>
      <c r="J191" s="29">
        <v>2023</v>
      </c>
      <c r="K191" s="30" t="s">
        <v>61</v>
      </c>
      <c r="L191" s="30" t="s">
        <v>72</v>
      </c>
    </row>
    <row r="192" spans="1:12" ht="14.25" customHeight="1" x14ac:dyDescent="0.3">
      <c r="A192" s="29">
        <v>191</v>
      </c>
      <c r="B192" s="30" t="s">
        <v>7</v>
      </c>
      <c r="C192" s="30" t="s">
        <v>15</v>
      </c>
      <c r="D192" s="30" t="s">
        <v>27</v>
      </c>
      <c r="E192" s="31">
        <v>45178</v>
      </c>
      <c r="F192" s="29">
        <v>8</v>
      </c>
      <c r="G192" s="29">
        <v>175</v>
      </c>
      <c r="H192" s="28">
        <v>1400</v>
      </c>
      <c r="I192" s="29">
        <v>1000</v>
      </c>
      <c r="J192" s="29">
        <v>2023</v>
      </c>
      <c r="K192" s="30" t="s">
        <v>65</v>
      </c>
      <c r="L192" s="30" t="s">
        <v>71</v>
      </c>
    </row>
    <row r="193" spans="1:12" ht="14.25" customHeight="1" x14ac:dyDescent="0.3">
      <c r="A193" s="29">
        <v>192</v>
      </c>
      <c r="B193" s="30" t="s">
        <v>8</v>
      </c>
      <c r="C193" s="30" t="s">
        <v>13</v>
      </c>
      <c r="D193" s="30" t="s">
        <v>25</v>
      </c>
      <c r="E193" s="31">
        <v>44960</v>
      </c>
      <c r="F193" s="29">
        <v>3</v>
      </c>
      <c r="G193" s="29">
        <v>381</v>
      </c>
      <c r="H193" s="28">
        <v>1143</v>
      </c>
      <c r="I193" s="29">
        <v>2000</v>
      </c>
      <c r="J193" s="29">
        <v>2023</v>
      </c>
      <c r="K193" s="30" t="s">
        <v>59</v>
      </c>
      <c r="L193" s="30" t="s">
        <v>68</v>
      </c>
    </row>
    <row r="194" spans="1:12" ht="14.25" customHeight="1" x14ac:dyDescent="0.3">
      <c r="A194" s="29">
        <v>193</v>
      </c>
      <c r="B194" s="30" t="s">
        <v>6</v>
      </c>
      <c r="C194" s="30" t="s">
        <v>15</v>
      </c>
      <c r="D194" s="30" t="s">
        <v>22</v>
      </c>
      <c r="E194" s="31">
        <v>45159</v>
      </c>
      <c r="F194" s="29">
        <v>9</v>
      </c>
      <c r="G194" s="29">
        <v>719</v>
      </c>
      <c r="H194" s="28">
        <v>6471</v>
      </c>
      <c r="I194" s="29">
        <v>2500</v>
      </c>
      <c r="J194" s="29">
        <v>2023</v>
      </c>
      <c r="K194" s="30" t="s">
        <v>65</v>
      </c>
      <c r="L194" s="30" t="s">
        <v>70</v>
      </c>
    </row>
    <row r="195" spans="1:12" ht="14.25" customHeight="1" x14ac:dyDescent="0.3">
      <c r="A195" s="29">
        <v>194</v>
      </c>
      <c r="B195" s="30" t="s">
        <v>7</v>
      </c>
      <c r="C195" s="30" t="s">
        <v>14</v>
      </c>
      <c r="D195" s="30" t="s">
        <v>23</v>
      </c>
      <c r="E195" s="31">
        <v>45262</v>
      </c>
      <c r="F195" s="29">
        <v>9</v>
      </c>
      <c r="G195" s="29">
        <v>838</v>
      </c>
      <c r="H195" s="28">
        <v>7542</v>
      </c>
      <c r="I195" s="29">
        <v>1500</v>
      </c>
      <c r="J195" s="29">
        <v>2023</v>
      </c>
      <c r="K195" s="30" t="s">
        <v>61</v>
      </c>
      <c r="L195" s="30" t="s">
        <v>67</v>
      </c>
    </row>
    <row r="196" spans="1:12" ht="14.25" customHeight="1" x14ac:dyDescent="0.3">
      <c r="A196" s="29">
        <v>195</v>
      </c>
      <c r="B196" s="30" t="s">
        <v>8</v>
      </c>
      <c r="C196" s="30" t="s">
        <v>15</v>
      </c>
      <c r="D196" s="30" t="s">
        <v>27</v>
      </c>
      <c r="E196" s="31">
        <v>45138</v>
      </c>
      <c r="F196" s="29">
        <v>6</v>
      </c>
      <c r="G196" s="29">
        <v>947</v>
      </c>
      <c r="H196" s="28">
        <v>5682</v>
      </c>
      <c r="I196" s="29">
        <v>2500</v>
      </c>
      <c r="J196" s="29">
        <v>2023</v>
      </c>
      <c r="K196" s="30" t="s">
        <v>65</v>
      </c>
      <c r="L196" s="30" t="s">
        <v>66</v>
      </c>
    </row>
    <row r="197" spans="1:12" ht="14.25" customHeight="1" x14ac:dyDescent="0.3">
      <c r="A197" s="29">
        <v>196</v>
      </c>
      <c r="B197" s="30" t="s">
        <v>7</v>
      </c>
      <c r="C197" s="30" t="s">
        <v>15</v>
      </c>
      <c r="D197" s="30" t="s">
        <v>27</v>
      </c>
      <c r="E197" s="31">
        <v>45087</v>
      </c>
      <c r="F197" s="29">
        <v>7</v>
      </c>
      <c r="G197" s="29">
        <v>420</v>
      </c>
      <c r="H197" s="28">
        <v>2940</v>
      </c>
      <c r="I197" s="29">
        <v>2000</v>
      </c>
      <c r="J197" s="29">
        <v>2023</v>
      </c>
      <c r="K197" s="30" t="s">
        <v>56</v>
      </c>
      <c r="L197" s="30" t="s">
        <v>64</v>
      </c>
    </row>
    <row r="198" spans="1:12" ht="14.25" customHeight="1" x14ac:dyDescent="0.3">
      <c r="A198" s="29">
        <v>197</v>
      </c>
      <c r="B198" s="30" t="s">
        <v>9</v>
      </c>
      <c r="C198" s="30" t="s">
        <v>13</v>
      </c>
      <c r="D198" s="30" t="s">
        <v>30</v>
      </c>
      <c r="E198" s="31">
        <v>44961</v>
      </c>
      <c r="F198" s="29">
        <v>2</v>
      </c>
      <c r="G198" s="29">
        <v>951</v>
      </c>
      <c r="H198" s="28">
        <v>1902</v>
      </c>
      <c r="I198" s="29">
        <v>1000</v>
      </c>
      <c r="J198" s="29">
        <v>2023</v>
      </c>
      <c r="K198" s="30" t="s">
        <v>59</v>
      </c>
      <c r="L198" s="30" t="s">
        <v>68</v>
      </c>
    </row>
    <row r="199" spans="1:12" ht="14.25" customHeight="1" x14ac:dyDescent="0.3">
      <c r="A199" s="29">
        <v>198</v>
      </c>
      <c r="B199" s="30" t="s">
        <v>7</v>
      </c>
      <c r="C199" s="30" t="s">
        <v>14</v>
      </c>
      <c r="D199" s="30" t="s">
        <v>31</v>
      </c>
      <c r="E199" s="31">
        <v>45117</v>
      </c>
      <c r="F199" s="29">
        <v>3</v>
      </c>
      <c r="G199" s="29">
        <v>669</v>
      </c>
      <c r="H199" s="28">
        <v>2007</v>
      </c>
      <c r="I199" s="29">
        <v>1000</v>
      </c>
      <c r="J199" s="29">
        <v>2023</v>
      </c>
      <c r="K199" s="30" t="s">
        <v>65</v>
      </c>
      <c r="L199" s="30" t="s">
        <v>66</v>
      </c>
    </row>
    <row r="200" spans="1:12" ht="14.25" customHeight="1" x14ac:dyDescent="0.3">
      <c r="A200" s="29">
        <v>199</v>
      </c>
      <c r="B200" s="30" t="s">
        <v>6</v>
      </c>
      <c r="C200" s="30" t="s">
        <v>12</v>
      </c>
      <c r="D200" s="30" t="s">
        <v>24</v>
      </c>
      <c r="E200" s="31">
        <v>45270</v>
      </c>
      <c r="F200" s="29">
        <v>2</v>
      </c>
      <c r="G200" s="29">
        <v>520</v>
      </c>
      <c r="H200" s="28">
        <v>1040</v>
      </c>
      <c r="I200" s="29">
        <v>2000</v>
      </c>
      <c r="J200" s="29">
        <v>2023</v>
      </c>
      <c r="K200" s="30" t="s">
        <v>61</v>
      </c>
      <c r="L200" s="30" t="s">
        <v>67</v>
      </c>
    </row>
    <row r="201" spans="1:12" ht="14.25" customHeight="1" x14ac:dyDescent="0.3">
      <c r="A201" s="29">
        <v>200</v>
      </c>
      <c r="B201" s="30" t="s">
        <v>7</v>
      </c>
      <c r="C201" s="30" t="s">
        <v>15</v>
      </c>
      <c r="D201" s="30" t="s">
        <v>22</v>
      </c>
      <c r="E201" s="31">
        <v>45074</v>
      </c>
      <c r="F201" s="29">
        <v>10</v>
      </c>
      <c r="G201" s="29">
        <v>419</v>
      </c>
      <c r="H201" s="28">
        <v>4190</v>
      </c>
      <c r="I201" s="29">
        <v>2000</v>
      </c>
      <c r="J201" s="29">
        <v>2023</v>
      </c>
      <c r="K201" s="30" t="s">
        <v>56</v>
      </c>
      <c r="L201" s="30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Column Chart</vt:lpstr>
      <vt:lpstr>Pie Chart</vt:lpstr>
      <vt:lpstr>Combo_Chart</vt:lpstr>
      <vt:lpstr>Bar_Chart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Pijush</dc:creator>
  <dc:description/>
  <cp:lastModifiedBy>Pijush Das [MCA - 2025]</cp:lastModifiedBy>
  <cp:revision>2</cp:revision>
  <dcterms:created xsi:type="dcterms:W3CDTF">2025-06-28T08:52:18Z</dcterms:created>
  <dcterms:modified xsi:type="dcterms:W3CDTF">2026-10-08T14:42:47Z</dcterms:modified>
  <dc:language>en-US</dc:language>
</cp:coreProperties>
</file>